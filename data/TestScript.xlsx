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Niranjan Srichandan\eclipse-workspace\SanitySETAF\data\"/>
    </mc:Choice>
  </mc:AlternateContent>
  <xr:revisionPtr revIDLastSave="0" documentId="13_ncr:1_{95B0C1B9-C745-4DED-99BF-07995BFA8B13}" xr6:coauthVersionLast="47" xr6:coauthVersionMax="47" xr10:uidLastSave="{00000000-0000-0000-0000-000000000000}"/>
  <bookViews>
    <workbookView xWindow="-108" yWindow="-108" windowWidth="23256" windowHeight="12456" firstSheet="14" activeTab="14" xr2:uid="{00000000-000D-0000-FFFF-FFFF00000000}"/>
  </bookViews>
  <sheets>
    <sheet name="UpdateVendorCategory" sheetId="5" r:id="rId1"/>
    <sheet name="AddUser" sheetId="1" r:id="rId2"/>
    <sheet name="AddVendor" sheetId="2" r:id="rId3"/>
    <sheet name="UpdateVendor" sheetId="3" r:id="rId4"/>
    <sheet name="UpdateFramework" sheetId="7" r:id="rId5"/>
    <sheet name="AddNodeMeta" sheetId="8" r:id="rId6"/>
    <sheet name="ModificationNodeData" sheetId="13" r:id="rId7"/>
    <sheet name="UpdateNode" sheetId="10" r:id="rId8"/>
    <sheet name="AddNodeDataControl" sheetId="12" r:id="rId9"/>
    <sheet name="AddNodeData" sheetId="11" r:id="rId10"/>
    <sheet name="AddFramework" sheetId="6" r:id="rId11"/>
    <sheet name="AssertMessage" sheetId="14" r:id="rId12"/>
    <sheet name="QestiontionnairUpload" sheetId="15" r:id="rId13"/>
    <sheet name="AddNodeChild" sheetId="9" r:id="rId14"/>
    <sheet name="AddVendorCategory" sheetId="4" r:id="rId15"/>
    <sheet name="UpdateUser" sheetId="16" r:id="rId16"/>
    <sheet name="AddVendorUser" sheetId="18" r:id="rId17"/>
    <sheet name="UpdateVendorUser" sheetId="19" r:id="rId18"/>
    <sheet name="AssessmentCalender" sheetId="20" r:id="rId19"/>
    <sheet name="Reportpage" sheetId="21" r:id="rId20"/>
    <sheet name="AssessmentStatistics" sheetId="22" r:id="rId21"/>
    <sheet name="General Report" sheetId="23" r:id="rId22"/>
    <sheet name="FrameworkQuestionnaire" sheetId="24" r:id="rId23"/>
    <sheet name="ObservationTracker" sheetId="25" r:id="rId24"/>
    <sheet name="VendorObservation" sheetId="26" r:id="rId25"/>
    <sheet name="VendorReport" sheetId="27" r:id="rId26"/>
    <sheet name="Upload" sheetId="28" r:id="rId27"/>
    <sheet name="ADAuditorUser" sheetId="29" r:id="rId28"/>
    <sheet name="UpdateADAuditorUser" sheetId="30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7" l="1"/>
  <c r="M2" i="21"/>
</calcChain>
</file>

<file path=xl/sharedStrings.xml><?xml version="1.0" encoding="utf-8"?>
<sst xmlns="http://schemas.openxmlformats.org/spreadsheetml/2006/main" count="1011" uniqueCount="525">
  <si>
    <t>TestCase ID</t>
  </si>
  <si>
    <t>TestCase Name</t>
  </si>
  <si>
    <t>TestCase Module</t>
  </si>
  <si>
    <t>TC-01</t>
  </si>
  <si>
    <t>AddUser</t>
  </si>
  <si>
    <t>User Management</t>
  </si>
  <si>
    <t>User ID</t>
  </si>
  <si>
    <t>Contact Number</t>
  </si>
  <si>
    <t>User Role</t>
  </si>
  <si>
    <t>_7134567828</t>
  </si>
  <si>
    <t>Vendor Category</t>
  </si>
  <si>
    <t>AddVendor</t>
  </si>
  <si>
    <t>Vendor Management</t>
  </si>
  <si>
    <t>Vendor Type</t>
  </si>
  <si>
    <t>Vendor Association Type</t>
  </si>
  <si>
    <t>Operations</t>
  </si>
  <si>
    <t>Test regression</t>
  </si>
  <si>
    <t>Type 1</t>
  </si>
  <si>
    <t>Type 2</t>
  </si>
  <si>
    <t>Type 3</t>
  </si>
  <si>
    <t>Association type 1</t>
  </si>
  <si>
    <t>Association type 2</t>
  </si>
  <si>
    <t>Association type 3</t>
  </si>
  <si>
    <t>Association type 4</t>
  </si>
  <si>
    <t>Low</t>
  </si>
  <si>
    <t>Medium</t>
  </si>
  <si>
    <t>High</t>
  </si>
  <si>
    <t>Critical</t>
  </si>
  <si>
    <t>Vendor Risk Rating</t>
  </si>
  <si>
    <t>Vendor Criticality Rating</t>
  </si>
  <si>
    <t>Relationship Manager</t>
  </si>
  <si>
    <t>State</t>
  </si>
  <si>
    <t>State 2</t>
  </si>
  <si>
    <t>State 3</t>
  </si>
  <si>
    <t>State 4</t>
  </si>
  <si>
    <t>city</t>
  </si>
  <si>
    <t>City 2</t>
  </si>
  <si>
    <t>sales</t>
  </si>
  <si>
    <t>Vendor Code</t>
  </si>
  <si>
    <t>Vendor Name</t>
  </si>
  <si>
    <t>Vendor Activity</t>
  </si>
  <si>
    <t>PName</t>
  </si>
  <si>
    <t>PEmailId</t>
  </si>
  <si>
    <t>Pcont</t>
  </si>
  <si>
    <t>Sname</t>
  </si>
  <si>
    <t>SEmailId</t>
  </si>
  <si>
    <t>Scont</t>
  </si>
  <si>
    <t>TPTrac New Testing Activity</t>
  </si>
  <si>
    <t>IT Category</t>
  </si>
  <si>
    <t>HR Category</t>
  </si>
  <si>
    <t>Vendor Category Management</t>
  </si>
  <si>
    <t>UpadteVendorCategory</t>
  </si>
  <si>
    <t>Vendor Category Code</t>
  </si>
  <si>
    <t>Cyber</t>
  </si>
  <si>
    <t>Framework Module</t>
  </si>
  <si>
    <t xml:space="preserve">Framework Name </t>
  </si>
  <si>
    <t>Description</t>
  </si>
  <si>
    <t xml:space="preserve">Hierarchy Level </t>
  </si>
  <si>
    <t>Level 2</t>
  </si>
  <si>
    <t>For Testing purpose</t>
  </si>
  <si>
    <t>Level 3</t>
  </si>
  <si>
    <t>Level 4</t>
  </si>
  <si>
    <t>Level 5</t>
  </si>
  <si>
    <t>AddFramework</t>
  </si>
  <si>
    <t>Comments</t>
  </si>
  <si>
    <t>New Plan</t>
  </si>
  <si>
    <t>commit</t>
  </si>
  <si>
    <t>April 10th New Framework</t>
  </si>
  <si>
    <t>Information Technology</t>
  </si>
  <si>
    <t>New Tracks</t>
  </si>
  <si>
    <t>AddNodeMeta</t>
  </si>
  <si>
    <t>Code</t>
  </si>
  <si>
    <t>Caption</t>
  </si>
  <si>
    <t>Domain code</t>
  </si>
  <si>
    <t>Domain caption</t>
  </si>
  <si>
    <t>Domain description</t>
  </si>
  <si>
    <t>Control code</t>
  </si>
  <si>
    <t>Control caption</t>
  </si>
  <si>
    <t>Control description</t>
  </si>
  <si>
    <t>Domain1 code</t>
  </si>
  <si>
    <t>Domain1 caption</t>
  </si>
  <si>
    <t>Domain1 description</t>
  </si>
  <si>
    <t>Update  Parent Node</t>
  </si>
  <si>
    <t>Update child Node</t>
  </si>
  <si>
    <t>Control1 code</t>
  </si>
  <si>
    <t>Control1 description</t>
  </si>
  <si>
    <t>Control1 caption</t>
  </si>
  <si>
    <t>Add Node Data</t>
  </si>
  <si>
    <t>Weightage</t>
  </si>
  <si>
    <t>Test A</t>
  </si>
  <si>
    <t>_2.1</t>
  </si>
  <si>
    <t>_50</t>
  </si>
  <si>
    <t>Test B</t>
  </si>
  <si>
    <t>_2.2</t>
  </si>
  <si>
    <t>Test A1</t>
  </si>
  <si>
    <t>Test A2</t>
  </si>
  <si>
    <t>_.1</t>
  </si>
  <si>
    <t>_.2</t>
  </si>
  <si>
    <t>Test B1</t>
  </si>
  <si>
    <t>Test B2</t>
  </si>
  <si>
    <t>Modification control1 node data</t>
  </si>
  <si>
    <t>Modification control2 node data</t>
  </si>
  <si>
    <t>Modification Domain2 node data</t>
  </si>
  <si>
    <t>Modification Domain1 node data</t>
  </si>
  <si>
    <t>Modification control3 node data</t>
  </si>
  <si>
    <t>Modification control4 node data</t>
  </si>
  <si>
    <t>Test AA</t>
  </si>
  <si>
    <t>Test AA1</t>
  </si>
  <si>
    <t>Test AA2</t>
  </si>
  <si>
    <t>Test BB</t>
  </si>
  <si>
    <t>Test BB1</t>
  </si>
  <si>
    <t>Test BB2</t>
  </si>
  <si>
    <t>_2.1.1</t>
  </si>
  <si>
    <t>_2.2.1</t>
  </si>
  <si>
    <t>_2.2.2</t>
  </si>
  <si>
    <t>Test B3</t>
  </si>
  <si>
    <t>_.4</t>
  </si>
  <si>
    <t>_80</t>
  </si>
  <si>
    <t>April 16th new Framework</t>
  </si>
  <si>
    <t>_20</t>
  </si>
  <si>
    <t>_30</t>
  </si>
  <si>
    <t>editnodedata</t>
  </si>
  <si>
    <t>addnodedata</t>
  </si>
  <si>
    <t>Edit nodedata</t>
  </si>
  <si>
    <t>Test C</t>
  </si>
  <si>
    <t>_2.3</t>
  </si>
  <si>
    <t>upload</t>
  </si>
  <si>
    <t>Text</t>
  </si>
  <si>
    <t>No file chosen</t>
  </si>
  <si>
    <t>Invalid file extension, Please upload only '.xls' or '.xlsx' files.</t>
  </si>
  <si>
    <t xml:space="preserve"> </t>
  </si>
  <si>
    <t>uploadFramework</t>
  </si>
  <si>
    <t>File uploaded successfully</t>
  </si>
  <si>
    <t>Pass</t>
  </si>
  <si>
    <t>Fail</t>
  </si>
  <si>
    <t>Added</t>
  </si>
  <si>
    <t>questionnair upload</t>
  </si>
  <si>
    <t>Upload</t>
  </si>
  <si>
    <t xml:space="preserve">Vendor Category </t>
  </si>
  <si>
    <t xml:space="preserve">Vendor Association Type </t>
  </si>
  <si>
    <t xml:space="preserve">sectionname </t>
  </si>
  <si>
    <t>sectioncode</t>
  </si>
  <si>
    <t>testsection</t>
  </si>
  <si>
    <t>TS123</t>
  </si>
  <si>
    <t>testsection1</t>
  </si>
  <si>
    <t>Test123</t>
  </si>
  <si>
    <t>questionnar library</t>
  </si>
  <si>
    <t>section management</t>
  </si>
  <si>
    <t>Deleted successfully.</t>
  </si>
  <si>
    <t>Questionnaire Section already exists</t>
  </si>
  <si>
    <t>Section Name is required</t>
  </si>
  <si>
    <t>Section Code is required</t>
  </si>
  <si>
    <t>vendor name</t>
  </si>
  <si>
    <t>Kumar Birla</t>
  </si>
  <si>
    <t>Vendor Category is required</t>
  </si>
  <si>
    <t>Vendor is required</t>
  </si>
  <si>
    <t>upload questionnair</t>
  </si>
  <si>
    <t xml:space="preserve"> No file chosen</t>
  </si>
  <si>
    <t>Invalid file extension. Please attach file with ".xlsx" extension</t>
  </si>
  <si>
    <t>Please enter valid data in excel</t>
  </si>
  <si>
    <t>_7134567999</t>
  </si>
  <si>
    <t>_8905457832</t>
  </si>
  <si>
    <t>Vendor User Management</t>
  </si>
  <si>
    <t>AddVendorUser</t>
  </si>
  <si>
    <t>TC-02</t>
  </si>
  <si>
    <t>Patra</t>
  </si>
  <si>
    <t>Rahul</t>
  </si>
  <si>
    <t>_8080502090</t>
  </si>
  <si>
    <t>UpdateVendorUser</t>
  </si>
  <si>
    <t>emailid</t>
  </si>
  <si>
    <t>Last name</t>
  </si>
  <si>
    <t xml:space="preserve">First name </t>
  </si>
  <si>
    <t>mo_bank_6@secureyesdev.com</t>
  </si>
  <si>
    <t>add question</t>
  </si>
  <si>
    <t>Questionnair template name</t>
  </si>
  <si>
    <t>AddClone</t>
  </si>
  <si>
    <t>Question -1 for Automation</t>
  </si>
  <si>
    <t>Test-template-added</t>
  </si>
  <si>
    <t>added-clone</t>
  </si>
  <si>
    <t>test template 19th jun</t>
  </si>
  <si>
    <t>AssessmentCalender</t>
  </si>
  <si>
    <t>Export to PDF supports only upto 8 columns</t>
  </si>
  <si>
    <t>Report Name</t>
  </si>
  <si>
    <t>Report type</t>
  </si>
  <si>
    <t>Prepared by</t>
  </si>
  <si>
    <t>Reiewed by</t>
  </si>
  <si>
    <t>Report Description</t>
  </si>
  <si>
    <t>custom Report</t>
  </si>
  <si>
    <t>Report module</t>
  </si>
  <si>
    <t>Business Report</t>
  </si>
  <si>
    <t>QA</t>
  </si>
  <si>
    <t>QA-test engineer</t>
  </si>
  <si>
    <t>TPTRAC Report</t>
  </si>
  <si>
    <t>Super User</t>
  </si>
  <si>
    <t>Marketing</t>
  </si>
  <si>
    <t>Data Access Partner</t>
  </si>
  <si>
    <t>testuser3</t>
  </si>
  <si>
    <t>Bihar</t>
  </si>
  <si>
    <t>Aurangabad</t>
  </si>
  <si>
    <t>Sushil kumar</t>
  </si>
  <si>
    <t>_9598789576</t>
  </si>
  <si>
    <t>Pavan Kumar</t>
  </si>
  <si>
    <t>_9375658378</t>
  </si>
  <si>
    <t>Rajesh kumar</t>
  </si>
  <si>
    <t>rajeshkumar@gmail.com</t>
  </si>
  <si>
    <t>_9598758556</t>
  </si>
  <si>
    <t>Kumud namkar</t>
  </si>
  <si>
    <t>kumudanam@gmail.com</t>
  </si>
  <si>
    <t>_9375686378</t>
  </si>
  <si>
    <t xml:space="preserve"> On Premise Solution Provider</t>
  </si>
  <si>
    <t>Assam</t>
  </si>
  <si>
    <t>Diphu</t>
  </si>
  <si>
    <t>Notes header</t>
  </si>
  <si>
    <t>Note text</t>
  </si>
  <si>
    <t>vendor automation report</t>
  </si>
  <si>
    <t>Reportname</t>
  </si>
  <si>
    <t>Reportdescription</t>
  </si>
  <si>
    <t>"vendor Report</t>
  </si>
  <si>
    <t>Test-1 report</t>
  </si>
  <si>
    <t>Test Report Description1</t>
  </si>
  <si>
    <t>Test-2 report</t>
  </si>
  <si>
    <t>Test Report Description2</t>
  </si>
  <si>
    <t>test pdf file</t>
  </si>
  <si>
    <t>downloading pdf Report</t>
  </si>
  <si>
    <t>test word file</t>
  </si>
  <si>
    <t>downloading word Report</t>
  </si>
  <si>
    <t>Assessment status</t>
  </si>
  <si>
    <t>Comment</t>
  </si>
  <si>
    <t>Approve</t>
  </si>
  <si>
    <t>Test automation comments</t>
  </si>
  <si>
    <t>vendor response</t>
  </si>
  <si>
    <t>vendor comment</t>
  </si>
  <si>
    <t>file uploaded</t>
  </si>
  <si>
    <t>observationtitle</t>
  </si>
  <si>
    <t>obsdescription</t>
  </si>
  <si>
    <t>impact</t>
  </si>
  <si>
    <t>recommendation</t>
  </si>
  <si>
    <t>comments</t>
  </si>
  <si>
    <t>auditorcomment</t>
  </si>
  <si>
    <t>Accept</t>
  </si>
  <si>
    <t>Remarks</t>
  </si>
  <si>
    <t>vendor response-1</t>
  </si>
  <si>
    <t>vendor comment-1</t>
  </si>
  <si>
    <t>file uploaded-1</t>
  </si>
  <si>
    <t>observationtitle-1</t>
  </si>
  <si>
    <t>obsdescription-1</t>
  </si>
  <si>
    <t>impact-1</t>
  </si>
  <si>
    <t>recommendation-1</t>
  </si>
  <si>
    <t>comments-1</t>
  </si>
  <si>
    <t>auditorcomment-1</t>
  </si>
  <si>
    <t>Accepted</t>
  </si>
  <si>
    <t>Remark-1</t>
  </si>
  <si>
    <t>vendor response-2</t>
  </si>
  <si>
    <t>vendor comment-2</t>
  </si>
  <si>
    <t>file uploaded-2</t>
  </si>
  <si>
    <t>observationtitle-2</t>
  </si>
  <si>
    <t>obsdescription-2</t>
  </si>
  <si>
    <t>impact-2</t>
  </si>
  <si>
    <t>recommendation-2</t>
  </si>
  <si>
    <t>comments-2</t>
  </si>
  <si>
    <t>auditorcomment-2</t>
  </si>
  <si>
    <t>Remark-2</t>
  </si>
  <si>
    <t>vendor response-3</t>
  </si>
  <si>
    <t>vendor comment-3</t>
  </si>
  <si>
    <t>file uploaded-3</t>
  </si>
  <si>
    <t>observationtitle-3</t>
  </si>
  <si>
    <t>obsdescription-3</t>
  </si>
  <si>
    <t>impact-3</t>
  </si>
  <si>
    <t>recommendation-3</t>
  </si>
  <si>
    <t>comments-3</t>
  </si>
  <si>
    <t>auditorcomment-3</t>
  </si>
  <si>
    <t>Remark-3</t>
  </si>
  <si>
    <t>vendor response-4</t>
  </si>
  <si>
    <t>vendor comment-4</t>
  </si>
  <si>
    <t>file uploaded-4</t>
  </si>
  <si>
    <t>observationtitle-4</t>
  </si>
  <si>
    <t>obsdescription-4</t>
  </si>
  <si>
    <t>impact-4</t>
  </si>
  <si>
    <t>recommendation-4</t>
  </si>
  <si>
    <t>comments-4</t>
  </si>
  <si>
    <t>auditorcomment-4</t>
  </si>
  <si>
    <t>Remark-4</t>
  </si>
  <si>
    <t>vendor response-5</t>
  </si>
  <si>
    <t>vendor comment-5</t>
  </si>
  <si>
    <t>file uploaded-5</t>
  </si>
  <si>
    <t>observationtitle-5</t>
  </si>
  <si>
    <t>obsdescription-5</t>
  </si>
  <si>
    <t>impact-5</t>
  </si>
  <si>
    <t>recommendation-5</t>
  </si>
  <si>
    <t>comments-5</t>
  </si>
  <si>
    <t>auditorcomment-5</t>
  </si>
  <si>
    <t>Remark-5</t>
  </si>
  <si>
    <t>is required</t>
  </si>
  <si>
    <t>ReportModule</t>
  </si>
  <si>
    <t>PDFexcelerror</t>
  </si>
  <si>
    <t>Aessementschedule</t>
  </si>
  <si>
    <t>Scheduled</t>
  </si>
  <si>
    <t>Submitted</t>
  </si>
  <si>
    <t>AssessmentReview</t>
  </si>
  <si>
    <t>Reviewed</t>
  </si>
  <si>
    <t>S01</t>
  </si>
  <si>
    <t>M01</t>
  </si>
  <si>
    <t>OLX</t>
  </si>
  <si>
    <t>OLX01</t>
  </si>
  <si>
    <t>TCS</t>
  </si>
  <si>
    <t>ACT</t>
  </si>
  <si>
    <t>TPTrac  Testing Activity</t>
  </si>
  <si>
    <t>Others</t>
  </si>
  <si>
    <t>apoorva.c@secureyes.net</t>
  </si>
  <si>
    <t>First Name</t>
  </si>
  <si>
    <t>Last Name</t>
  </si>
  <si>
    <t>Email Id</t>
  </si>
  <si>
    <t>Naresh</t>
  </si>
  <si>
    <t>kumar</t>
  </si>
  <si>
    <t>Onboarding Status</t>
  </si>
  <si>
    <t>Pre-Onboarding</t>
  </si>
  <si>
    <t>Onboarded</t>
  </si>
  <si>
    <t>Vendor</t>
  </si>
  <si>
    <t>BSNL</t>
  </si>
  <si>
    <t>Assessment</t>
  </si>
  <si>
    <t>CS Framework</t>
  </si>
  <si>
    <t>April 18th new Framework</t>
  </si>
  <si>
    <t>_2.1.-2</t>
  </si>
  <si>
    <t>Added successfully.</t>
  </si>
  <si>
    <t>Saved successfully.</t>
  </si>
  <si>
    <t>Test1234</t>
  </si>
  <si>
    <t>New section for Automation</t>
  </si>
  <si>
    <t>Framework</t>
  </si>
  <si>
    <t>Template Name</t>
  </si>
  <si>
    <t>Domain</t>
  </si>
  <si>
    <t>Control</t>
  </si>
  <si>
    <t>Access Control (A)</t>
  </si>
  <si>
    <t>Does your organization have a formal (documented,</t>
  </si>
  <si>
    <t>Second Party Data Processing (B)</t>
  </si>
  <si>
    <t>access to Ujjivan</t>
  </si>
  <si>
    <t>Do these processors</t>
  </si>
  <si>
    <t>Questions</t>
  </si>
  <si>
    <t>for Automation</t>
  </si>
  <si>
    <t>Questionnaire Template</t>
  </si>
  <si>
    <t>Assessment Type</t>
  </si>
  <si>
    <t>Operational Risk</t>
  </si>
  <si>
    <t>Ad Hoc</t>
  </si>
  <si>
    <t>Vendor Onobarded Status</t>
  </si>
  <si>
    <t>Active</t>
  </si>
  <si>
    <t>Deactivated</t>
  </si>
  <si>
    <t>On-Hold</t>
  </si>
  <si>
    <t>Off-Boarded</t>
  </si>
  <si>
    <t>Vendor Pre-Onobarding Status</t>
  </si>
  <si>
    <t>Unassessed</t>
  </si>
  <si>
    <t>Being Assessed</t>
  </si>
  <si>
    <t>Rejected</t>
  </si>
  <si>
    <t>Assessment Status</t>
  </si>
  <si>
    <t>Awaited From Vendor</t>
  </si>
  <si>
    <t>Review pending</t>
  </si>
  <si>
    <t>Completed</t>
  </si>
  <si>
    <t>Select All</t>
  </si>
  <si>
    <t>Select Year</t>
  </si>
  <si>
    <t>Quarter</t>
  </si>
  <si>
    <t>_2023</t>
  </si>
  <si>
    <t>Q1</t>
  </si>
  <si>
    <t>Q2</t>
  </si>
  <si>
    <t>Q3</t>
  </si>
  <si>
    <t>Q4</t>
  </si>
  <si>
    <t>Frameworks</t>
  </si>
  <si>
    <t>_2024</t>
  </si>
  <si>
    <t>vendor comments</t>
  </si>
  <si>
    <t>Assessment Status Auditor</t>
  </si>
  <si>
    <t>Assessment Status Vendor</t>
  </si>
  <si>
    <t>Pending</t>
  </si>
  <si>
    <t>Approved</t>
  </si>
  <si>
    <t>Review Rejected</t>
  </si>
  <si>
    <t>Observation Status Vendor</t>
  </si>
  <si>
    <t>In Progress</t>
  </si>
  <si>
    <t>AssessmentSchedule</t>
  </si>
  <si>
    <t>Vendor Comments</t>
  </si>
  <si>
    <t>added vendor comments</t>
  </si>
  <si>
    <t>Auditor Comments</t>
  </si>
  <si>
    <t>AuditorComments-1</t>
  </si>
  <si>
    <t>AuditorComments-2</t>
  </si>
  <si>
    <t>AuditorComments-3</t>
  </si>
  <si>
    <t>AuditorComments-4</t>
  </si>
  <si>
    <t>AuditorComments-5</t>
  </si>
  <si>
    <t>Closed</t>
  </si>
  <si>
    <t>No Observations</t>
  </si>
  <si>
    <t>Vendor Maturity Values</t>
  </si>
  <si>
    <t>obs1</t>
  </si>
  <si>
    <t>obs2</t>
  </si>
  <si>
    <t>obsdesc1</t>
  </si>
  <si>
    <t>obsdesc2</t>
  </si>
  <si>
    <t>imp1</t>
  </si>
  <si>
    <t>imp2</t>
  </si>
  <si>
    <t>rec1</t>
  </si>
  <si>
    <t>rec2</t>
  </si>
  <si>
    <t>com1</t>
  </si>
  <si>
    <t>com2</t>
  </si>
  <si>
    <t>obs3</t>
  </si>
  <si>
    <t>obsdesc3</t>
  </si>
  <si>
    <t>imp3</t>
  </si>
  <si>
    <t>rec3</t>
  </si>
  <si>
    <t>com3</t>
  </si>
  <si>
    <t>Invalid Data</t>
  </si>
  <si>
    <t>xxxaa</t>
  </si>
  <si>
    <t>Category</t>
  </si>
  <si>
    <t>xxxxaaa</t>
  </si>
  <si>
    <t>Risk</t>
  </si>
  <si>
    <t>Assessment Name</t>
  </si>
  <si>
    <t>Observation Title</t>
  </si>
  <si>
    <t>Invalid</t>
  </si>
  <si>
    <t>xxaa</t>
  </si>
  <si>
    <t>Status</t>
  </si>
  <si>
    <t>Framework_VendorStatus</t>
  </si>
  <si>
    <t>Selected</t>
  </si>
  <si>
    <t>Report on Automation</t>
  </si>
  <si>
    <t>Version</t>
  </si>
  <si>
    <t>VendorStatus</t>
  </si>
  <si>
    <t>Invalid data</t>
  </si>
  <si>
    <t>xxxaaa</t>
  </si>
  <si>
    <t>Year</t>
  </si>
  <si>
    <t>Obs Status</t>
  </si>
  <si>
    <t>Open</t>
  </si>
  <si>
    <t>Claim Closed</t>
  </si>
  <si>
    <t>Over Due</t>
  </si>
  <si>
    <t>CE Framework</t>
  </si>
  <si>
    <t>File Name</t>
  </si>
  <si>
    <t>VendorUploadTemplateTest.xlsx</t>
  </si>
  <si>
    <t>Partial Framework.xlsx</t>
  </si>
  <si>
    <t>testblankupload.xlsx</t>
  </si>
  <si>
    <t>Questionnaire Upload Template.xlsx</t>
  </si>
  <si>
    <t>Questionnaire Upload Template section.xlsx</t>
  </si>
  <si>
    <t>Questionnaire Upload Template without section.xlsx</t>
  </si>
  <si>
    <t>Invalid file.xlsx</t>
  </si>
  <si>
    <t>SE Vendor 1</t>
  </si>
  <si>
    <t>SE1</t>
  </si>
  <si>
    <t>Section</t>
  </si>
  <si>
    <t>Sectionupload</t>
  </si>
  <si>
    <t>SectionCode</t>
  </si>
  <si>
    <t>SU01</t>
  </si>
  <si>
    <t>SE Vendor 2</t>
  </si>
  <si>
    <t>Test Template C</t>
  </si>
  <si>
    <t>Marketing1</t>
  </si>
  <si>
    <t>Does your organization</t>
  </si>
  <si>
    <t>User</t>
  </si>
  <si>
    <t>qa</t>
  </si>
  <si>
    <t>reports</t>
  </si>
  <si>
    <t>search</t>
  </si>
  <si>
    <t>No Data Found</t>
  </si>
  <si>
    <t>Data verify</t>
  </si>
  <si>
    <t>Verify Data</t>
  </si>
  <si>
    <t>Rahul Patra</t>
  </si>
  <si>
    <t>Published</t>
  </si>
  <si>
    <t>Templtes</t>
  </si>
  <si>
    <t>test template 19th jun, Test-template-added</t>
  </si>
  <si>
    <t>se vendor 2</t>
  </si>
  <si>
    <t>Automation testing</t>
  </si>
  <si>
    <t>FrameworkUploadSample.xlsx</t>
  </si>
  <si>
    <t>C01</t>
  </si>
  <si>
    <t>IT01</t>
  </si>
  <si>
    <t>VendorUploadSample.xlsx</t>
  </si>
  <si>
    <t>Security One</t>
  </si>
  <si>
    <t>SO01</t>
  </si>
  <si>
    <t>QuestionnaireUploadSample.xlsx</t>
  </si>
  <si>
    <t>SE Vendor 3</t>
  </si>
  <si>
    <t>_9598789698</t>
  </si>
  <si>
    <t>_9008789698</t>
  </si>
  <si>
    <t>Ramesh Saha</t>
  </si>
  <si>
    <t>Shrvan Kumar</t>
  </si>
  <si>
    <t>BS01</t>
  </si>
  <si>
    <t>Not Applicable</t>
  </si>
  <si>
    <t>Fully Compliant</t>
  </si>
  <si>
    <t>DisabledUser</t>
  </si>
  <si>
    <t>Vendor Admin</t>
  </si>
  <si>
    <t>_9911223344</t>
  </si>
  <si>
    <t>TC-05</t>
  </si>
  <si>
    <t>DisabledVendorUser</t>
  </si>
  <si>
    <t>_9852102545</t>
  </si>
  <si>
    <t>Ramesh</t>
  </si>
  <si>
    <t>Saha</t>
  </si>
  <si>
    <t>boda.sagar@secureyes.net</t>
  </si>
  <si>
    <t>qa2</t>
  </si>
  <si>
    <t>abc@secureyes.net</t>
  </si>
  <si>
    <t>ramn1@secureyes.net</t>
  </si>
  <si>
    <t>testuser21</t>
  </si>
  <si>
    <t>Email ID</t>
  </si>
  <si>
    <t>Rohit</t>
  </si>
  <si>
    <t>Kumar</t>
  </si>
  <si>
    <t>niranjan.srichandan@secureyes.net</t>
  </si>
  <si>
    <t>UpdateUser</t>
  </si>
  <si>
    <t>testuser22</t>
  </si>
  <si>
    <t>Suresh</t>
  </si>
  <si>
    <t>Sahoo</t>
  </si>
  <si>
    <t>suresh@gmail.com</t>
  </si>
  <si>
    <t>Eyes</t>
  </si>
  <si>
    <t>UserManagement</t>
  </si>
  <si>
    <t>User ID is required</t>
  </si>
  <si>
    <t>First Name is required</t>
  </si>
  <si>
    <t>Last Name is required</t>
  </si>
  <si>
    <t>Email Id is required</t>
  </si>
  <si>
    <t>User Role is required</t>
  </si>
  <si>
    <t>Contact Number is required</t>
  </si>
  <si>
    <t>santosh1.verma@secureyes.net</t>
  </si>
  <si>
    <t>Invalid headers. Please upload a file with valid headers.</t>
  </si>
  <si>
    <t>Please upload file with valid data</t>
  </si>
  <si>
    <t>sajid.nilgar1@secureyes.net</t>
  </si>
  <si>
    <t>File Data can not be empty on row no. = 2</t>
  </si>
  <si>
    <t>Framework Name is required</t>
  </si>
  <si>
    <t>Partial Compliant</t>
  </si>
  <si>
    <t>Non Compliant</t>
  </si>
  <si>
    <t>Department</t>
  </si>
  <si>
    <t>DepartmentBlank</t>
  </si>
  <si>
    <t>Name is required</t>
  </si>
  <si>
    <t>Rohit Kumar</t>
  </si>
  <si>
    <t>DuplicateVendor</t>
  </si>
  <si>
    <t>Vendor Category already exist in the application</t>
  </si>
  <si>
    <t>mo_bank_10@secureyesdev.com</t>
  </si>
  <si>
    <t>mo_bank_12@secureyesdev.com</t>
  </si>
  <si>
    <t>AddADAuditorUser</t>
  </si>
  <si>
    <t>mo_bank_8@secureyesdev.com</t>
  </si>
  <si>
    <t>mo_bank_14@secureyesdev.com</t>
  </si>
  <si>
    <t>_7134567877</t>
  </si>
  <si>
    <t>_9911223311</t>
  </si>
  <si>
    <t>DisabledADAUditorUser</t>
  </si>
  <si>
    <t>UpdateADAuditorUser</t>
  </si>
  <si>
    <t>_7134568565</t>
  </si>
  <si>
    <t>Service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</si>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</sst>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ourier New"/>
      <family val="3"/>
    </font>
    <font>
      <sz val="11"/>
      <color rgb="FF20212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A00FF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1" applyBorder="1" applyAlignment="1">
      <alignment horizontal="left"/>
    </xf>
    <xf numFmtId="0" fontId="0" fillId="0" borderId="1" xfId="1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1" fillId="0" borderId="0" xfId="1"/>
    <xf numFmtId="0" fontId="3" fillId="0" borderId="1" xfId="0" applyFont="1" applyBorder="1"/>
    <xf numFmtId="0" fontId="0" fillId="0" borderId="2" xfId="0" applyBorder="1"/>
    <xf numFmtId="0" fontId="0" fillId="0" borderId="2" xfId="1" applyFont="1" applyBorder="1" applyAlignment="1">
      <alignment horizontal="left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iranjan.srichandan@secureyes.net" TargetMode="External"/><Relationship Id="rId2" Type="http://schemas.openxmlformats.org/officeDocument/2006/relationships/hyperlink" Target="mailto:mo_bank_9@secureyesdev.com" TargetMode="External"/><Relationship Id="rId1" Type="http://schemas.openxmlformats.org/officeDocument/2006/relationships/hyperlink" Target="mailto:bhuban.tripathy@secureyesdev.com" TargetMode="External"/><Relationship Id="rId4" Type="http://schemas.openxmlformats.org/officeDocument/2006/relationships/hyperlink" Target="mailto:suresh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bc@secureyes.net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poorva.c@secureyes.net" TargetMode="External"/><Relationship Id="rId1" Type="http://schemas.openxmlformats.org/officeDocument/2006/relationships/hyperlink" Target="mailto:bhuban.tripathy@secureyesdev.com" TargetMode="External"/><Relationship Id="rId6" Type="http://schemas.openxmlformats.org/officeDocument/2006/relationships/hyperlink" Target="mailto:santosh1.verma@secureyes.net" TargetMode="External"/><Relationship Id="rId5" Type="http://schemas.openxmlformats.org/officeDocument/2006/relationships/hyperlink" Target="mailto:ramn1@secureyes.net" TargetMode="External"/><Relationship Id="rId4" Type="http://schemas.openxmlformats.org/officeDocument/2006/relationships/hyperlink" Target="mailto:bhuban.tripathy@secureyesdev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kumudanam@gmail.com" TargetMode="External"/><Relationship Id="rId2" Type="http://schemas.openxmlformats.org/officeDocument/2006/relationships/hyperlink" Target="mailto:rajeshkumar@gmail.com" TargetMode="External"/><Relationship Id="rId1" Type="http://schemas.openxmlformats.org/officeDocument/2006/relationships/hyperlink" Target="mailto:bhuban.tripathy@secureyesdev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boda.sagar@secureyes.net" TargetMode="External"/><Relationship Id="rId2" Type="http://schemas.openxmlformats.org/officeDocument/2006/relationships/hyperlink" Target="mailto:niranjan.srichandan@secureyes.net" TargetMode="External"/><Relationship Id="rId1" Type="http://schemas.openxmlformats.org/officeDocument/2006/relationships/hyperlink" Target="mailto:mo_bank_10@secureyesdev.com" TargetMode="External"/><Relationship Id="rId4" Type="http://schemas.openxmlformats.org/officeDocument/2006/relationships/hyperlink" Target="mailto:mo_bank_12@secureyesdev.co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mailto:mo_bank_6@secureyesdev.com" TargetMode="External"/><Relationship Id="rId1" Type="http://schemas.openxmlformats.org/officeDocument/2006/relationships/hyperlink" Target="mailto:sajid.nilgar1@secureyes.net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mailto:mo_bank_8@secureyesdev.com" TargetMode="External"/><Relationship Id="rId2" Type="http://schemas.openxmlformats.org/officeDocument/2006/relationships/hyperlink" Target="mailto:suresh@gmail.com" TargetMode="External"/><Relationship Id="rId1" Type="http://schemas.openxmlformats.org/officeDocument/2006/relationships/hyperlink" Target="mailto:niranjan.srichandan@secureyes.net" TargetMode="External"/><Relationship Id="rId4" Type="http://schemas.openxmlformats.org/officeDocument/2006/relationships/hyperlink" Target="mailto:mo_bank_14@secureyesdev.com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mailto:mo_bank_8@secureyesdev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F5CA-1FB5-4A8E-9F13-99BAC1CC89F4}">
  <dimension ref="A1:F7"/>
  <sheetViews>
    <sheetView workbookViewId="0">
      <selection activeCell="C2" sqref="C2"/>
    </sheetView>
  </sheetViews>
  <sheetFormatPr defaultRowHeight="14.4" x14ac:dyDescent="0.3"/>
  <cols>
    <col min="1" max="1" width="10.5546875" bestFit="1" customWidth="1"/>
    <col min="2" max="2" width="20.44140625" bestFit="1" customWidth="1"/>
    <col min="3" max="3" width="26.33203125" bestFit="1" customWidth="1"/>
    <col min="4" max="4" width="14.77734375" bestFit="1" customWidth="1"/>
    <col min="5" max="5" width="19.5546875" bestFit="1" customWidth="1"/>
    <col min="6" max="6" width="11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52</v>
      </c>
      <c r="F1" s="1" t="s">
        <v>407</v>
      </c>
    </row>
    <row r="2" spans="1:6" x14ac:dyDescent="0.3">
      <c r="A2" s="1" t="s">
        <v>3</v>
      </c>
      <c r="B2" s="1" t="s">
        <v>51</v>
      </c>
      <c r="C2" s="1" t="s">
        <v>50</v>
      </c>
      <c r="D2" s="1" t="s">
        <v>194</v>
      </c>
      <c r="E2" s="1" t="s">
        <v>301</v>
      </c>
      <c r="F2" s="1" t="s">
        <v>439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workbookViewId="0">
      <selection sqref="A1:XFD1048576"/>
    </sheetView>
  </sheetViews>
  <sheetFormatPr defaultRowHeight="14.4" x14ac:dyDescent="0.3"/>
  <cols>
    <col min="1" max="1" width="10.5546875" bestFit="1" customWidth="1"/>
    <col min="2" max="2" width="14.44140625" bestFit="1" customWidth="1"/>
    <col min="3" max="3" width="16.109375" bestFit="1" customWidth="1"/>
    <col min="4" max="4" width="33.5546875" customWidth="1"/>
    <col min="5" max="5" width="9.77734375" bestFit="1" customWidth="1"/>
    <col min="6" max="6" width="9.6640625" bestFit="1" customWidth="1"/>
    <col min="7" max="7" width="30.44140625" bestFit="1" customWidth="1"/>
    <col min="8" max="8" width="18.77734375" bestFit="1" customWidth="1"/>
    <col min="9" max="9" width="12.44140625" bestFit="1" customWidth="1"/>
    <col min="10" max="10" width="10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309</v>
      </c>
      <c r="F1" s="1" t="s">
        <v>310</v>
      </c>
      <c r="G1" s="1" t="s">
        <v>482</v>
      </c>
      <c r="H1" s="1" t="s">
        <v>7</v>
      </c>
      <c r="I1" s="1" t="s">
        <v>8</v>
      </c>
      <c r="J1" s="1" t="s">
        <v>415</v>
      </c>
    </row>
    <row r="2" spans="1:10" x14ac:dyDescent="0.3">
      <c r="A2" s="1" t="s">
        <v>3</v>
      </c>
      <c r="B2" s="1" t="s">
        <v>4</v>
      </c>
      <c r="C2" s="1" t="s">
        <v>5</v>
      </c>
      <c r="D2" s="3" t="s">
        <v>481</v>
      </c>
      <c r="E2" s="3" t="s">
        <v>483</v>
      </c>
      <c r="F2" s="3" t="s">
        <v>484</v>
      </c>
      <c r="G2" s="3" t="s">
        <v>485</v>
      </c>
      <c r="H2" s="2" t="s">
        <v>9</v>
      </c>
      <c r="I2" s="1" t="s">
        <v>193</v>
      </c>
      <c r="J2" s="1" t="s">
        <v>190</v>
      </c>
    </row>
    <row r="3" spans="1:10" x14ac:dyDescent="0.3">
      <c r="A3" s="1" t="s">
        <v>164</v>
      </c>
      <c r="B3" s="1" t="s">
        <v>469</v>
      </c>
      <c r="C3" s="1" t="s">
        <v>5</v>
      </c>
      <c r="D3" s="13" t="s">
        <v>487</v>
      </c>
      <c r="E3" s="13" t="s">
        <v>488</v>
      </c>
      <c r="F3" s="13" t="s">
        <v>489</v>
      </c>
      <c r="G3" s="13" t="s">
        <v>490</v>
      </c>
      <c r="H3" s="1" t="s">
        <v>471</v>
      </c>
      <c r="I3" s="1" t="s">
        <v>470</v>
      </c>
      <c r="J3" s="1" t="s">
        <v>491</v>
      </c>
    </row>
  </sheetData>
  <hyperlinks>
    <hyperlink ref="D2" r:id="rId1" display="bhuban.tripathy@secureyesdev.com" xr:uid="{10284145-7C80-4540-B841-AEA12EF092C8}"/>
    <hyperlink ref="D3" r:id="rId2" display="mo_bank_9@secureyesdev.com" xr:uid="{FABB874F-2A92-4CF2-8BDF-5D331193B540}"/>
    <hyperlink ref="G2" r:id="rId3" xr:uid="{0BBEE84A-CCE2-42DE-BFA0-269CCFB18871}"/>
    <hyperlink ref="G3" r:id="rId4" xr:uid="{C1F9EA83-1488-488C-B6BC-BF2BC79A3F6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6C6D-7B6B-4248-8570-BBAC267F4A6F}">
  <dimension ref="A1:T8"/>
  <sheetViews>
    <sheetView topLeftCell="J1" workbookViewId="0">
      <selection activeCell="S12" sqref="S12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8.33203125" bestFit="1" customWidth="1"/>
    <col min="4" max="5" width="18.33203125" customWidth="1"/>
    <col min="6" max="6" width="31.21875" bestFit="1" customWidth="1"/>
    <col min="7" max="7" width="17.44140625" bestFit="1" customWidth="1"/>
    <col min="8" max="8" width="21.33203125" bestFit="1" customWidth="1"/>
    <col min="9" max="9" width="16.21875" bestFit="1" customWidth="1"/>
    <col min="10" max="10" width="20.77734375" bestFit="1" customWidth="1"/>
    <col min="11" max="11" width="18.88671875" bestFit="1" customWidth="1"/>
    <col min="12" max="12" width="23.77734375" bestFit="1" customWidth="1"/>
    <col min="14" max="14" width="10.6640625" bestFit="1" customWidth="1"/>
    <col min="15" max="15" width="14.44140625" bestFit="1" customWidth="1"/>
    <col min="16" max="16" width="30.44140625" bestFit="1" customWidth="1"/>
    <col min="17" max="17" width="13.33203125" bestFit="1" customWidth="1"/>
    <col min="18" max="18" width="14.44140625" bestFit="1" customWidth="1"/>
    <col min="19" max="19" width="30.109375" customWidth="1"/>
    <col min="20" max="20" width="12.77734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38</v>
      </c>
      <c r="E1" s="1" t="s">
        <v>39</v>
      </c>
      <c r="F1" s="1" t="s">
        <v>10</v>
      </c>
      <c r="G1" s="1" t="s">
        <v>13</v>
      </c>
      <c r="H1" s="1" t="s">
        <v>14</v>
      </c>
      <c r="I1" s="1" t="s">
        <v>28</v>
      </c>
      <c r="J1" s="1" t="s">
        <v>29</v>
      </c>
      <c r="K1" s="1" t="s">
        <v>30</v>
      </c>
      <c r="L1" s="1" t="s">
        <v>40</v>
      </c>
      <c r="M1" s="1" t="s">
        <v>31</v>
      </c>
      <c r="N1" s="1" t="s">
        <v>35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 x14ac:dyDescent="0.3">
      <c r="A2" s="1" t="s">
        <v>3</v>
      </c>
      <c r="B2" s="1" t="s">
        <v>11</v>
      </c>
      <c r="C2" s="1" t="s">
        <v>12</v>
      </c>
      <c r="D2" s="1" t="s">
        <v>303</v>
      </c>
      <c r="E2" s="1" t="s">
        <v>302</v>
      </c>
      <c r="F2" s="4" t="s">
        <v>68</v>
      </c>
      <c r="G2" s="2" t="s">
        <v>195</v>
      </c>
      <c r="H2" s="1" t="s">
        <v>22</v>
      </c>
      <c r="I2" s="1" t="s">
        <v>24</v>
      </c>
      <c r="J2" s="1" t="s">
        <v>27</v>
      </c>
      <c r="K2" s="1" t="s">
        <v>196</v>
      </c>
      <c r="L2" s="1" t="s">
        <v>306</v>
      </c>
      <c r="M2" s="1" t="s">
        <v>197</v>
      </c>
      <c r="N2" s="1" t="s">
        <v>198</v>
      </c>
      <c r="O2" s="5" t="s">
        <v>199</v>
      </c>
      <c r="P2" s="6" t="s">
        <v>308</v>
      </c>
      <c r="Q2" s="5" t="s">
        <v>200</v>
      </c>
      <c r="R2" s="5" t="s">
        <v>201</v>
      </c>
      <c r="S2" s="6" t="s">
        <v>479</v>
      </c>
      <c r="T2" s="5" t="s">
        <v>202</v>
      </c>
    </row>
    <row r="3" spans="1:20" x14ac:dyDescent="0.3">
      <c r="A3" s="1"/>
      <c r="B3" s="1"/>
      <c r="C3" s="1"/>
      <c r="D3" s="1"/>
      <c r="E3" s="1"/>
      <c r="F3" s="1" t="s">
        <v>49</v>
      </c>
      <c r="G3" s="1" t="s">
        <v>18</v>
      </c>
      <c r="H3" s="1" t="s">
        <v>21</v>
      </c>
      <c r="I3" s="1" t="s">
        <v>25</v>
      </c>
      <c r="J3" s="1" t="s">
        <v>26</v>
      </c>
      <c r="K3" s="1"/>
      <c r="L3" s="1"/>
      <c r="M3" s="1" t="s">
        <v>32</v>
      </c>
      <c r="N3" s="1" t="s">
        <v>36</v>
      </c>
      <c r="O3" s="1"/>
      <c r="P3" s="1"/>
      <c r="Q3" s="1"/>
      <c r="R3" s="1"/>
      <c r="S3" s="1"/>
      <c r="T3" s="1"/>
    </row>
    <row r="4" spans="1:20" x14ac:dyDescent="0.3">
      <c r="A4" s="1"/>
      <c r="B4" s="1"/>
      <c r="C4" s="1"/>
      <c r="D4" s="1"/>
      <c r="E4" s="1"/>
      <c r="F4" s="1" t="s">
        <v>15</v>
      </c>
      <c r="G4" s="1" t="s">
        <v>19</v>
      </c>
      <c r="H4" s="1" t="s">
        <v>22</v>
      </c>
      <c r="I4" s="1" t="s">
        <v>26</v>
      </c>
      <c r="J4" s="1" t="s">
        <v>25</v>
      </c>
      <c r="K4" s="1"/>
      <c r="L4" s="1"/>
      <c r="M4" s="1" t="s">
        <v>33</v>
      </c>
      <c r="N4" s="1"/>
      <c r="O4" s="1"/>
      <c r="P4" s="1"/>
      <c r="Q4" s="1"/>
      <c r="R4" s="1"/>
      <c r="S4" s="1"/>
      <c r="T4" s="1"/>
    </row>
    <row r="5" spans="1:20" x14ac:dyDescent="0.3">
      <c r="A5" s="1"/>
      <c r="B5" s="1"/>
      <c r="C5" s="1"/>
      <c r="D5" s="1"/>
      <c r="E5" s="1"/>
      <c r="F5" s="1" t="s">
        <v>15</v>
      </c>
      <c r="G5" s="1"/>
      <c r="H5" s="1" t="s">
        <v>23</v>
      </c>
      <c r="I5" s="1" t="s">
        <v>27</v>
      </c>
      <c r="J5" s="1" t="s">
        <v>24</v>
      </c>
      <c r="K5" s="1"/>
      <c r="L5" s="1"/>
      <c r="M5" s="1" t="s">
        <v>34</v>
      </c>
      <c r="N5" s="1"/>
      <c r="O5" s="1"/>
      <c r="P5" s="1"/>
      <c r="Q5" s="1"/>
      <c r="R5" s="1"/>
      <c r="S5" s="1"/>
      <c r="T5" s="1"/>
    </row>
    <row r="6" spans="1:20" x14ac:dyDescent="0.3">
      <c r="A6" s="1"/>
      <c r="B6" s="1"/>
      <c r="C6" s="1"/>
      <c r="D6" s="1"/>
      <c r="E6" s="1"/>
      <c r="F6" s="4" t="s">
        <v>194</v>
      </c>
      <c r="G6" s="1"/>
      <c r="H6" s="1" t="s">
        <v>307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"/>
      <c r="B7" s="1"/>
      <c r="C7" s="1"/>
      <c r="D7" s="1"/>
      <c r="E7" s="1"/>
      <c r="F7" s="1" t="s">
        <v>16</v>
      </c>
      <c r="G7" s="1"/>
      <c r="H7" s="1" t="s">
        <v>17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" t="s">
        <v>164</v>
      </c>
      <c r="B8" s="1" t="s">
        <v>11</v>
      </c>
      <c r="C8" s="1" t="s">
        <v>12</v>
      </c>
      <c r="D8" s="1" t="s">
        <v>466</v>
      </c>
      <c r="E8" s="1" t="s">
        <v>318</v>
      </c>
      <c r="F8" s="1" t="s">
        <v>48</v>
      </c>
      <c r="G8" s="1"/>
      <c r="H8" s="1"/>
      <c r="I8" s="1"/>
      <c r="J8" s="1"/>
      <c r="K8" s="1"/>
      <c r="L8" s="1"/>
      <c r="M8" s="1"/>
      <c r="N8" s="1"/>
      <c r="O8" s="1" t="s">
        <v>464</v>
      </c>
      <c r="P8" s="13" t="s">
        <v>480</v>
      </c>
      <c r="Q8" s="5" t="s">
        <v>462</v>
      </c>
      <c r="R8" s="1" t="s">
        <v>465</v>
      </c>
      <c r="S8" s="13" t="s">
        <v>499</v>
      </c>
      <c r="T8" s="5" t="s">
        <v>463</v>
      </c>
    </row>
  </sheetData>
  <hyperlinks>
    <hyperlink ref="F2" r:id="rId1" display="bhuban.tripathy@secureyesdev.com" xr:uid="{A29DE5A9-A4B2-40F1-ADB6-00C8967B61BC}"/>
    <hyperlink ref="P2" r:id="rId2" xr:uid="{A4EC9B6F-81AB-4984-9AB4-BB94778FB52B}"/>
    <hyperlink ref="S2" r:id="rId3" xr:uid="{B1041F0F-81F6-499A-B4B2-BF5FF9F89297}"/>
    <hyperlink ref="F6" r:id="rId4" display="bhuban.tripathy@secureyesdev.com" xr:uid="{0B29DEBE-2E3D-4580-A000-A99025F1635A}"/>
    <hyperlink ref="P8" r:id="rId5" xr:uid="{EE1EB1BD-3708-449C-96A4-51127F2E56BC}"/>
    <hyperlink ref="S8" r:id="rId6" xr:uid="{A4640759-9A9B-4555-AF93-B8378A666EA7}"/>
  </hyperlinks>
  <pageMargins left="0.7" right="0.7" top="0.75" bottom="0.75" header="0.3" footer="0.3"/>
  <pageSetup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20CD-4102-4BD2-BEDA-E2AEE23D7A88}">
  <dimension ref="A1:T7"/>
  <sheetViews>
    <sheetView topLeftCell="I1" workbookViewId="0">
      <selection activeCell="O21" sqref="O21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8.33203125" bestFit="1" customWidth="1"/>
    <col min="4" max="4" width="11.5546875" bestFit="1" customWidth="1"/>
    <col min="5" max="5" width="12.33203125" bestFit="1" customWidth="1"/>
    <col min="6" max="6" width="14.77734375" bestFit="1" customWidth="1"/>
    <col min="7" max="7" width="25.44140625" bestFit="1" customWidth="1"/>
    <col min="8" max="8" width="21.33203125" bestFit="1" customWidth="1"/>
    <col min="9" max="9" width="16.21875" bestFit="1" customWidth="1"/>
    <col min="10" max="10" width="20.77734375" bestFit="1" customWidth="1"/>
    <col min="11" max="11" width="18.88671875" bestFit="1" customWidth="1"/>
    <col min="12" max="12" width="23.77734375" bestFit="1" customWidth="1"/>
    <col min="13" max="13" width="6.6640625" bestFit="1" customWidth="1"/>
    <col min="14" max="14" width="5.5546875" bestFit="1" customWidth="1"/>
    <col min="15" max="15" width="14.44140625" bestFit="1" customWidth="1"/>
    <col min="16" max="16" width="21" bestFit="1" customWidth="1"/>
    <col min="17" max="17" width="13.33203125" bestFit="1" customWidth="1"/>
    <col min="18" max="18" width="14.44140625" bestFit="1" customWidth="1"/>
    <col min="19" max="19" width="18.109375" bestFit="1" customWidth="1"/>
    <col min="20" max="20" width="13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38</v>
      </c>
      <c r="E1" s="1" t="s">
        <v>39</v>
      </c>
      <c r="F1" s="1" t="s">
        <v>10</v>
      </c>
      <c r="G1" s="1" t="s">
        <v>13</v>
      </c>
      <c r="H1" s="1" t="s">
        <v>14</v>
      </c>
      <c r="I1" s="1" t="s">
        <v>28</v>
      </c>
      <c r="J1" s="1" t="s">
        <v>29</v>
      </c>
      <c r="K1" s="1" t="s">
        <v>30</v>
      </c>
      <c r="L1" s="1" t="s">
        <v>40</v>
      </c>
      <c r="M1" s="1" t="s">
        <v>31</v>
      </c>
      <c r="N1" s="1" t="s">
        <v>35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 x14ac:dyDescent="0.3">
      <c r="A2" s="1" t="s">
        <v>3</v>
      </c>
      <c r="B2" s="1" t="s">
        <v>11</v>
      </c>
      <c r="C2" s="1" t="s">
        <v>12</v>
      </c>
      <c r="D2" s="1" t="s">
        <v>432</v>
      </c>
      <c r="E2" s="1" t="s">
        <v>431</v>
      </c>
      <c r="F2" s="4" t="s">
        <v>48</v>
      </c>
      <c r="G2" s="2" t="s">
        <v>209</v>
      </c>
      <c r="H2" s="1" t="s">
        <v>20</v>
      </c>
      <c r="I2" s="1" t="s">
        <v>26</v>
      </c>
      <c r="J2" s="1" t="s">
        <v>24</v>
      </c>
      <c r="K2" s="1" t="s">
        <v>196</v>
      </c>
      <c r="L2" s="1" t="s">
        <v>47</v>
      </c>
      <c r="M2" s="1" t="s">
        <v>210</v>
      </c>
      <c r="N2" s="1" t="s">
        <v>211</v>
      </c>
      <c r="O2" s="5" t="s">
        <v>203</v>
      </c>
      <c r="P2" s="6" t="s">
        <v>204</v>
      </c>
      <c r="Q2" s="5" t="s">
        <v>205</v>
      </c>
      <c r="R2" s="5" t="s">
        <v>206</v>
      </c>
      <c r="S2" s="6" t="s">
        <v>207</v>
      </c>
      <c r="T2" s="5" t="s">
        <v>208</v>
      </c>
    </row>
    <row r="3" spans="1:20" x14ac:dyDescent="0.3">
      <c r="A3" s="1"/>
      <c r="B3" s="1"/>
      <c r="C3" s="1"/>
      <c r="D3" s="1"/>
      <c r="E3" s="1"/>
      <c r="F3" s="1" t="s">
        <v>49</v>
      </c>
      <c r="G3" s="1" t="s">
        <v>18</v>
      </c>
      <c r="H3" s="1" t="s">
        <v>21</v>
      </c>
      <c r="I3" s="1" t="s">
        <v>25</v>
      </c>
      <c r="J3" s="1" t="s">
        <v>26</v>
      </c>
      <c r="K3" s="1"/>
      <c r="L3" s="1"/>
      <c r="M3" s="1" t="s">
        <v>32</v>
      </c>
      <c r="N3" s="1" t="s">
        <v>36</v>
      </c>
      <c r="O3" s="1"/>
      <c r="P3" s="1"/>
      <c r="Q3" s="1"/>
      <c r="R3" s="1"/>
      <c r="S3" s="1"/>
      <c r="T3" s="1"/>
    </row>
    <row r="4" spans="1:20" x14ac:dyDescent="0.3">
      <c r="A4" s="1"/>
      <c r="B4" s="1"/>
      <c r="C4" s="1"/>
      <c r="D4" s="1"/>
      <c r="E4" s="1" t="s">
        <v>461</v>
      </c>
      <c r="F4" s="1" t="s">
        <v>53</v>
      </c>
      <c r="G4" s="1" t="s">
        <v>19</v>
      </c>
      <c r="H4" s="1" t="s">
        <v>22</v>
      </c>
      <c r="I4" s="1" t="s">
        <v>26</v>
      </c>
      <c r="J4" s="1" t="s">
        <v>25</v>
      </c>
      <c r="K4" s="1"/>
      <c r="L4" s="1"/>
      <c r="M4" s="1" t="s">
        <v>33</v>
      </c>
      <c r="N4" s="1"/>
      <c r="O4" s="1"/>
      <c r="P4" s="1"/>
      <c r="Q4" s="1"/>
      <c r="R4" s="1"/>
      <c r="S4" s="1"/>
      <c r="T4" s="1"/>
    </row>
    <row r="5" spans="1:20" x14ac:dyDescent="0.3">
      <c r="A5" s="1"/>
      <c r="B5" s="1"/>
      <c r="C5" s="1"/>
      <c r="D5" s="1"/>
      <c r="E5" s="1"/>
      <c r="F5" s="1" t="s">
        <v>15</v>
      </c>
      <c r="G5" s="1"/>
      <c r="H5" s="1" t="s">
        <v>23</v>
      </c>
      <c r="I5" s="1" t="s">
        <v>27</v>
      </c>
      <c r="J5" s="1" t="s">
        <v>24</v>
      </c>
      <c r="K5" s="1"/>
      <c r="L5" s="1"/>
      <c r="M5" s="1" t="s">
        <v>34</v>
      </c>
      <c r="N5" s="1"/>
      <c r="O5" s="1"/>
      <c r="P5" s="1"/>
      <c r="Q5" s="1"/>
      <c r="R5" s="1"/>
      <c r="S5" s="1"/>
      <c r="T5" s="1"/>
    </row>
    <row r="6" spans="1:20" x14ac:dyDescent="0.3">
      <c r="A6" s="1"/>
      <c r="B6" s="1"/>
      <c r="C6" s="1"/>
      <c r="D6" s="1"/>
      <c r="E6" s="1"/>
      <c r="F6" s="1" t="s">
        <v>37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"/>
      <c r="B7" s="1"/>
      <c r="C7" s="1"/>
      <c r="D7" s="1"/>
      <c r="E7" s="1"/>
      <c r="F7" s="1" t="s">
        <v>16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</sheetData>
  <hyperlinks>
    <hyperlink ref="F2" r:id="rId1" display="bhuban.tripathy@secureyesdev.com" xr:uid="{253405DC-A621-4F74-AF7D-4F03B50F27B5}"/>
    <hyperlink ref="P2" r:id="rId2" xr:uid="{100B3B6F-1E08-4D22-8F0D-1522FA753D8C}"/>
    <hyperlink ref="S2" r:id="rId3" xr:uid="{BB7FA3DC-E7A4-4507-9EB1-E6BACF0FD08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6FE1-C98B-4211-A8A6-6DB11CA70F37}">
  <dimension ref="A1:E7"/>
  <sheetViews>
    <sheetView workbookViewId="0">
      <selection activeCell="E20" sqref="E20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7" bestFit="1" customWidth="1"/>
    <col min="4" max="4" width="21.33203125" bestFit="1" customWidth="1"/>
    <col min="5" max="5" width="17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64</v>
      </c>
    </row>
    <row r="2" spans="1:5" x14ac:dyDescent="0.3">
      <c r="A2" s="1" t="s">
        <v>3</v>
      </c>
      <c r="B2" s="1" t="s">
        <v>63</v>
      </c>
      <c r="C2" s="1" t="s">
        <v>54</v>
      </c>
      <c r="D2" s="4" t="s">
        <v>48</v>
      </c>
      <c r="E2" s="2" t="s">
        <v>66</v>
      </c>
    </row>
    <row r="3" spans="1:5" x14ac:dyDescent="0.3">
      <c r="A3" s="1"/>
      <c r="B3" s="1"/>
      <c r="C3" s="1"/>
      <c r="D3" s="1" t="s">
        <v>49</v>
      </c>
      <c r="E3" s="1"/>
    </row>
    <row r="4" spans="1:5" x14ac:dyDescent="0.3">
      <c r="A4" s="1"/>
      <c r="B4" s="1"/>
      <c r="C4" s="1"/>
      <c r="D4" s="1" t="s">
        <v>53</v>
      </c>
      <c r="E4" s="1"/>
    </row>
    <row r="5" spans="1:5" x14ac:dyDescent="0.3">
      <c r="A5" s="1"/>
      <c r="B5" s="1"/>
      <c r="C5" s="1"/>
      <c r="D5" s="1" t="s">
        <v>68</v>
      </c>
      <c r="E5" s="1"/>
    </row>
    <row r="6" spans="1:5" x14ac:dyDescent="0.3">
      <c r="A6" s="1"/>
      <c r="B6" s="1"/>
      <c r="C6" s="1"/>
      <c r="D6" s="1" t="s">
        <v>69</v>
      </c>
      <c r="E6" s="1"/>
    </row>
    <row r="7" spans="1:5" x14ac:dyDescent="0.3">
      <c r="A7" s="1"/>
      <c r="B7" s="1"/>
      <c r="C7" s="1"/>
      <c r="D7" s="7" t="s">
        <v>65</v>
      </c>
      <c r="E7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C9E4-F6B2-45EB-A2CB-8D6CAB75C4FA}">
  <dimension ref="A1:F4"/>
  <sheetViews>
    <sheetView topLeftCell="B1" workbookViewId="0">
      <selection activeCell="G17" sqref="G17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7" bestFit="1" customWidth="1"/>
    <col min="4" max="4" width="14.77734375" bestFit="1" customWidth="1"/>
    <col min="5" max="5" width="14" bestFit="1" customWidth="1"/>
    <col min="6" max="6" width="16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71</v>
      </c>
      <c r="E1" s="1" t="s">
        <v>72</v>
      </c>
      <c r="F1" s="1" t="s">
        <v>56</v>
      </c>
    </row>
    <row r="2" spans="1:6" x14ac:dyDescent="0.3">
      <c r="A2" s="1" t="s">
        <v>3</v>
      </c>
      <c r="B2" s="1" t="s">
        <v>70</v>
      </c>
      <c r="C2" s="1" t="s">
        <v>54</v>
      </c>
      <c r="D2" s="4" t="s">
        <v>73</v>
      </c>
      <c r="E2" s="2" t="s">
        <v>74</v>
      </c>
      <c r="F2" s="1" t="s">
        <v>75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0BF4-9443-48DA-B7B4-52F0A9B0C7B5}">
  <dimension ref="A1:F7"/>
  <sheetViews>
    <sheetView workbookViewId="0">
      <selection activeCell="F18" sqref="F18"/>
    </sheetView>
  </sheetViews>
  <sheetFormatPr defaultRowHeight="14.4" x14ac:dyDescent="0.3"/>
  <cols>
    <col min="1" max="1" width="10.5546875" bestFit="1" customWidth="1"/>
    <col min="2" max="2" width="28.33203125" bestFit="1" customWidth="1"/>
    <col min="3" max="3" width="17" bestFit="1" customWidth="1"/>
    <col min="4" max="4" width="6.6640625" customWidth="1"/>
    <col min="5" max="5" width="9.6640625" bestFit="1" customWidth="1"/>
    <col min="6" max="6" width="10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71</v>
      </c>
      <c r="E1" s="1" t="s">
        <v>88</v>
      </c>
      <c r="F1" s="1" t="s">
        <v>56</v>
      </c>
    </row>
    <row r="2" spans="1:6" x14ac:dyDescent="0.3">
      <c r="A2" s="1" t="s">
        <v>3</v>
      </c>
      <c r="B2" s="1" t="s">
        <v>103</v>
      </c>
      <c r="C2" s="1" t="s">
        <v>54</v>
      </c>
      <c r="D2" s="9" t="s">
        <v>90</v>
      </c>
      <c r="E2" s="2" t="s">
        <v>91</v>
      </c>
      <c r="F2" s="1" t="s">
        <v>106</v>
      </c>
    </row>
    <row r="3" spans="1:6" x14ac:dyDescent="0.3">
      <c r="A3" s="1"/>
      <c r="B3" s="1" t="s">
        <v>100</v>
      </c>
      <c r="C3" s="1" t="s">
        <v>54</v>
      </c>
      <c r="D3" s="4" t="s">
        <v>112</v>
      </c>
      <c r="E3" s="2" t="s">
        <v>91</v>
      </c>
      <c r="F3" s="1" t="s">
        <v>107</v>
      </c>
    </row>
    <row r="4" spans="1:6" x14ac:dyDescent="0.3">
      <c r="A4" s="1"/>
      <c r="B4" s="1" t="s">
        <v>101</v>
      </c>
      <c r="C4" s="1" t="s">
        <v>54</v>
      </c>
      <c r="D4" s="1" t="s">
        <v>322</v>
      </c>
      <c r="E4" s="1" t="s">
        <v>91</v>
      </c>
      <c r="F4" s="1" t="s">
        <v>108</v>
      </c>
    </row>
    <row r="5" spans="1:6" x14ac:dyDescent="0.3">
      <c r="A5" s="1"/>
      <c r="B5" s="1" t="s">
        <v>102</v>
      </c>
      <c r="C5" s="1" t="s">
        <v>54</v>
      </c>
      <c r="D5" s="8" t="s">
        <v>93</v>
      </c>
      <c r="E5" s="1" t="s">
        <v>91</v>
      </c>
      <c r="F5" s="1" t="s">
        <v>109</v>
      </c>
    </row>
    <row r="6" spans="1:6" x14ac:dyDescent="0.3">
      <c r="A6" s="1"/>
      <c r="B6" s="1" t="s">
        <v>104</v>
      </c>
      <c r="C6" s="1" t="s">
        <v>54</v>
      </c>
      <c r="D6" s="1" t="s">
        <v>113</v>
      </c>
      <c r="E6" s="1" t="s">
        <v>91</v>
      </c>
      <c r="F6" s="1" t="s">
        <v>110</v>
      </c>
    </row>
    <row r="7" spans="1:6" x14ac:dyDescent="0.3">
      <c r="A7" s="1"/>
      <c r="B7" s="1" t="s">
        <v>105</v>
      </c>
      <c r="C7" s="1" t="s">
        <v>54</v>
      </c>
      <c r="D7" s="1" t="s">
        <v>114</v>
      </c>
      <c r="E7" s="1" t="s">
        <v>91</v>
      </c>
      <c r="F7" s="1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1371-9D06-4A3B-A0B8-4BF78CAF2427}">
  <dimension ref="A1:F4"/>
  <sheetViews>
    <sheetView topLeftCell="B1" workbookViewId="0">
      <selection activeCell="G13" sqref="G13"/>
    </sheetView>
  </sheetViews>
  <sheetFormatPr defaultRowHeight="14.4" x14ac:dyDescent="0.3"/>
  <cols>
    <col min="1" max="1" width="10.5546875" bestFit="1" customWidth="1"/>
    <col min="2" max="2" width="18.33203125" bestFit="1" customWidth="1"/>
    <col min="3" max="3" width="17" bestFit="1" customWidth="1"/>
    <col min="4" max="4" width="12.77734375" bestFit="1" customWidth="1"/>
    <col min="5" max="5" width="18" bestFit="1" customWidth="1"/>
    <col min="6" max="6" width="15" bestFit="1" customWidth="1"/>
    <col min="7" max="7" width="16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71</v>
      </c>
      <c r="E1" s="8" t="s">
        <v>56</v>
      </c>
      <c r="F1" s="1" t="s">
        <v>72</v>
      </c>
    </row>
    <row r="2" spans="1:6" x14ac:dyDescent="0.3">
      <c r="A2" s="1" t="s">
        <v>3</v>
      </c>
      <c r="B2" s="1" t="s">
        <v>82</v>
      </c>
      <c r="C2" s="1" t="s">
        <v>54</v>
      </c>
      <c r="D2" s="4" t="s">
        <v>79</v>
      </c>
      <c r="E2" s="9" t="s">
        <v>81</v>
      </c>
      <c r="F2" s="2" t="s">
        <v>80</v>
      </c>
    </row>
    <row r="3" spans="1:6" x14ac:dyDescent="0.3">
      <c r="A3" s="1"/>
      <c r="B3" s="1" t="s">
        <v>83</v>
      </c>
      <c r="C3" s="1" t="s">
        <v>54</v>
      </c>
      <c r="D3" s="1" t="s">
        <v>84</v>
      </c>
      <c r="E3" s="8" t="s">
        <v>85</v>
      </c>
      <c r="F3" s="1" t="s">
        <v>86</v>
      </c>
    </row>
    <row r="4" spans="1:6" x14ac:dyDescent="0.3">
      <c r="A4" s="1"/>
      <c r="B4" s="1"/>
      <c r="C4" s="1"/>
      <c r="D4" s="1"/>
      <c r="E4" s="8"/>
      <c r="F4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D4463-4947-46C6-8267-7AE831C22EF0}">
  <dimension ref="A1:G6"/>
  <sheetViews>
    <sheetView workbookViewId="0">
      <selection activeCell="F8" sqref="F8"/>
    </sheetView>
  </sheetViews>
  <sheetFormatPr defaultRowHeight="14.4" x14ac:dyDescent="0.3"/>
  <cols>
    <col min="1" max="1" width="10.5546875" bestFit="1" customWidth="1"/>
    <col min="6" max="6" width="9.6640625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72</v>
      </c>
      <c r="E1" s="1" t="s">
        <v>71</v>
      </c>
      <c r="F1" s="1" t="s">
        <v>88</v>
      </c>
      <c r="G1" s="1" t="s">
        <v>56</v>
      </c>
    </row>
    <row r="2" spans="1:7" x14ac:dyDescent="0.3">
      <c r="A2" s="1" t="s">
        <v>3</v>
      </c>
      <c r="B2" s="1" t="s">
        <v>87</v>
      </c>
      <c r="C2" s="1" t="s">
        <v>54</v>
      </c>
      <c r="D2" s="4" t="s">
        <v>94</v>
      </c>
      <c r="E2" s="4" t="s">
        <v>96</v>
      </c>
      <c r="F2" s="2" t="s">
        <v>91</v>
      </c>
      <c r="G2" s="1" t="s">
        <v>94</v>
      </c>
    </row>
    <row r="3" spans="1:7" x14ac:dyDescent="0.3">
      <c r="A3" s="1"/>
      <c r="B3" s="1"/>
      <c r="C3" s="1"/>
      <c r="D3" s="1" t="s">
        <v>95</v>
      </c>
      <c r="E3" s="1" t="s">
        <v>97</v>
      </c>
      <c r="F3" s="1" t="s">
        <v>91</v>
      </c>
      <c r="G3" s="1" t="s">
        <v>95</v>
      </c>
    </row>
    <row r="4" spans="1:7" x14ac:dyDescent="0.3">
      <c r="A4" s="1"/>
      <c r="B4" s="1"/>
      <c r="C4" s="1"/>
      <c r="D4" s="1" t="s">
        <v>98</v>
      </c>
      <c r="E4" s="1" t="s">
        <v>96</v>
      </c>
      <c r="F4" s="1" t="s">
        <v>91</v>
      </c>
      <c r="G4" s="1" t="s">
        <v>98</v>
      </c>
    </row>
    <row r="5" spans="1:7" x14ac:dyDescent="0.3">
      <c r="A5" s="1"/>
      <c r="B5" s="1"/>
      <c r="C5" s="1"/>
      <c r="D5" s="1" t="s">
        <v>99</v>
      </c>
      <c r="E5" s="1" t="s">
        <v>97</v>
      </c>
      <c r="F5" s="1" t="s">
        <v>91</v>
      </c>
      <c r="G5" s="1" t="s">
        <v>99</v>
      </c>
    </row>
    <row r="6" spans="1:7" x14ac:dyDescent="0.3">
      <c r="A6" s="1"/>
      <c r="B6" s="1"/>
      <c r="C6" s="1"/>
      <c r="D6" s="1" t="s">
        <v>115</v>
      </c>
      <c r="E6" s="1" t="s">
        <v>116</v>
      </c>
      <c r="F6" s="1" t="s">
        <v>117</v>
      </c>
      <c r="G6" s="1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3078-8F0E-4D9A-B7AD-588F8DFE63C7}">
  <dimension ref="A1:G6"/>
  <sheetViews>
    <sheetView workbookViewId="0">
      <selection activeCell="G11" sqref="G11"/>
    </sheetView>
  </sheetViews>
  <sheetFormatPr defaultRowHeight="14.4" x14ac:dyDescent="0.3"/>
  <cols>
    <col min="1" max="1" width="10.5546875" bestFit="1" customWidth="1"/>
    <col min="2" max="2" width="18.33203125" bestFit="1" customWidth="1"/>
    <col min="3" max="3" width="17" bestFit="1" customWidth="1"/>
    <col min="4" max="4" width="12.77734375" bestFit="1" customWidth="1"/>
    <col min="5" max="5" width="18" bestFit="1" customWidth="1"/>
    <col min="6" max="6" width="15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72</v>
      </c>
      <c r="E1" s="1" t="s">
        <v>71</v>
      </c>
      <c r="F1" s="1" t="s">
        <v>88</v>
      </c>
      <c r="G1" s="1" t="s">
        <v>56</v>
      </c>
    </row>
    <row r="2" spans="1:7" x14ac:dyDescent="0.3">
      <c r="A2" s="1" t="s">
        <v>3</v>
      </c>
      <c r="B2" s="1" t="s">
        <v>87</v>
      </c>
      <c r="C2" s="1" t="s">
        <v>54</v>
      </c>
      <c r="D2" s="4" t="s">
        <v>89</v>
      </c>
      <c r="E2" s="4" t="s">
        <v>90</v>
      </c>
      <c r="F2" s="2" t="s">
        <v>91</v>
      </c>
      <c r="G2" s="1" t="s">
        <v>89</v>
      </c>
    </row>
    <row r="3" spans="1:7" x14ac:dyDescent="0.3">
      <c r="A3" s="1"/>
      <c r="B3" s="1" t="s">
        <v>87</v>
      </c>
      <c r="C3" s="1"/>
      <c r="D3" s="1" t="s">
        <v>92</v>
      </c>
      <c r="E3" s="1" t="s">
        <v>93</v>
      </c>
      <c r="F3" s="1" t="s">
        <v>91</v>
      </c>
      <c r="G3" s="1" t="s">
        <v>92</v>
      </c>
    </row>
    <row r="4" spans="1:7" x14ac:dyDescent="0.3">
      <c r="A4" s="1"/>
      <c r="B4" s="1" t="s">
        <v>123</v>
      </c>
      <c r="C4" s="1"/>
      <c r="D4" s="1"/>
      <c r="E4" s="1"/>
      <c r="F4" s="1" t="s">
        <v>119</v>
      </c>
      <c r="G4" s="1"/>
    </row>
    <row r="5" spans="1:7" x14ac:dyDescent="0.3">
      <c r="A5" s="1"/>
      <c r="B5" s="1" t="s">
        <v>122</v>
      </c>
      <c r="C5" s="1"/>
      <c r="D5" s="1" t="s">
        <v>124</v>
      </c>
      <c r="E5" s="1" t="s">
        <v>125</v>
      </c>
      <c r="F5" s="1" t="s">
        <v>120</v>
      </c>
      <c r="G5" s="1" t="s">
        <v>124</v>
      </c>
    </row>
    <row r="6" spans="1:7" x14ac:dyDescent="0.3">
      <c r="A6" s="1"/>
      <c r="B6" s="1" t="s">
        <v>121</v>
      </c>
      <c r="C6" s="1"/>
      <c r="D6" s="1"/>
      <c r="E6" s="1"/>
      <c r="F6" s="1" t="s">
        <v>91</v>
      </c>
      <c r="G6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293B-ABB3-4682-A216-EAD7C07B3B31}">
  <dimension ref="A1:F6"/>
  <sheetViews>
    <sheetView workbookViewId="0">
      <selection activeCell="D9" sqref="D9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7" bestFit="1" customWidth="1"/>
    <col min="4" max="4" width="23" bestFit="1" customWidth="1"/>
    <col min="5" max="5" width="17" bestFit="1" customWidth="1"/>
    <col min="6" max="6" width="14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55</v>
      </c>
      <c r="E1" s="1" t="s">
        <v>56</v>
      </c>
      <c r="F1" s="1" t="s">
        <v>57</v>
      </c>
    </row>
    <row r="2" spans="1:6" x14ac:dyDescent="0.3">
      <c r="A2" s="1" t="s">
        <v>3</v>
      </c>
      <c r="B2" s="1" t="s">
        <v>63</v>
      </c>
      <c r="C2" s="1" t="s">
        <v>54</v>
      </c>
      <c r="D2" s="4" t="s">
        <v>67</v>
      </c>
      <c r="E2" s="2" t="s">
        <v>59</v>
      </c>
      <c r="F2" s="1" t="s">
        <v>58</v>
      </c>
    </row>
    <row r="3" spans="1:6" x14ac:dyDescent="0.3">
      <c r="A3" s="1"/>
      <c r="B3" s="1"/>
      <c r="C3" s="1"/>
      <c r="D3" s="1" t="s">
        <v>118</v>
      </c>
      <c r="E3" s="1" t="s">
        <v>59</v>
      </c>
      <c r="F3" s="1" t="s">
        <v>60</v>
      </c>
    </row>
    <row r="4" spans="1:6" x14ac:dyDescent="0.3">
      <c r="A4" s="1"/>
      <c r="B4" s="1"/>
      <c r="C4" s="1"/>
      <c r="D4" s="1" t="s">
        <v>321</v>
      </c>
      <c r="E4" s="1" t="s">
        <v>453</v>
      </c>
      <c r="F4" s="1" t="s">
        <v>61</v>
      </c>
    </row>
    <row r="5" spans="1:6" x14ac:dyDescent="0.3">
      <c r="A5" s="1"/>
      <c r="B5" s="1"/>
      <c r="C5" s="1"/>
      <c r="D5" s="1" t="s">
        <v>320</v>
      </c>
      <c r="E5" s="1"/>
      <c r="F5" s="1" t="s">
        <v>62</v>
      </c>
    </row>
    <row r="6" spans="1:6" x14ac:dyDescent="0.3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9D07-29E9-4CDF-A360-861BEA58838A}">
  <dimension ref="A1:D39"/>
  <sheetViews>
    <sheetView topLeftCell="A15" workbookViewId="0">
      <selection activeCell="K28" sqref="K28"/>
    </sheetView>
  </sheetViews>
  <sheetFormatPr defaultRowHeight="14.4" x14ac:dyDescent="0.3"/>
  <cols>
    <col min="1" max="1" width="13.77734375" bestFit="1" customWidth="1"/>
    <col min="2" max="2" width="17" bestFit="1" customWidth="1"/>
    <col min="3" max="3" width="17.88671875" bestFit="1" customWidth="1"/>
    <col min="4" max="4" width="55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127</v>
      </c>
    </row>
    <row r="2" spans="1:4" x14ac:dyDescent="0.3">
      <c r="A2" s="1" t="s">
        <v>3</v>
      </c>
      <c r="B2" s="1" t="s">
        <v>126</v>
      </c>
      <c r="C2" s="1" t="s">
        <v>126</v>
      </c>
      <c r="D2" s="4" t="s">
        <v>128</v>
      </c>
    </row>
    <row r="3" spans="1:4" x14ac:dyDescent="0.3">
      <c r="A3" s="1"/>
      <c r="B3" s="1" t="s">
        <v>131</v>
      </c>
      <c r="C3" s="1" t="s">
        <v>126</v>
      </c>
      <c r="D3" s="10" t="s">
        <v>292</v>
      </c>
    </row>
    <row r="4" spans="1:4" x14ac:dyDescent="0.3">
      <c r="A4" s="1" t="s">
        <v>130</v>
      </c>
      <c r="B4" s="1" t="s">
        <v>131</v>
      </c>
      <c r="C4" s="1" t="s">
        <v>126</v>
      </c>
      <c r="D4" s="1" t="s">
        <v>129</v>
      </c>
    </row>
    <row r="5" spans="1:4" x14ac:dyDescent="0.3">
      <c r="A5" s="1"/>
      <c r="B5" s="1" t="s">
        <v>131</v>
      </c>
      <c r="C5" s="1" t="s">
        <v>126</v>
      </c>
      <c r="D5" s="1" t="s">
        <v>132</v>
      </c>
    </row>
    <row r="6" spans="1:4" x14ac:dyDescent="0.3">
      <c r="A6" s="1"/>
      <c r="B6" s="1" t="s">
        <v>131</v>
      </c>
      <c r="C6" s="1" t="s">
        <v>126</v>
      </c>
      <c r="D6" s="1" t="s">
        <v>133</v>
      </c>
    </row>
    <row r="7" spans="1:4" x14ac:dyDescent="0.3">
      <c r="A7" s="1"/>
      <c r="B7" s="1" t="s">
        <v>131</v>
      </c>
      <c r="C7" s="1" t="s">
        <v>126</v>
      </c>
      <c r="D7" s="1" t="s">
        <v>134</v>
      </c>
    </row>
    <row r="8" spans="1:4" x14ac:dyDescent="0.3">
      <c r="A8" s="1"/>
      <c r="B8" s="1" t="s">
        <v>131</v>
      </c>
      <c r="C8" s="1" t="s">
        <v>126</v>
      </c>
      <c r="D8" s="1" t="s">
        <v>135</v>
      </c>
    </row>
    <row r="9" spans="1:4" x14ac:dyDescent="0.3">
      <c r="A9" s="1"/>
      <c r="B9" s="1" t="s">
        <v>147</v>
      </c>
      <c r="C9" s="1" t="s">
        <v>146</v>
      </c>
      <c r="D9" s="1" t="s">
        <v>324</v>
      </c>
    </row>
    <row r="10" spans="1:4" x14ac:dyDescent="0.3">
      <c r="A10" s="1"/>
      <c r="B10" s="1" t="s">
        <v>147</v>
      </c>
      <c r="C10" s="1" t="s">
        <v>146</v>
      </c>
      <c r="D10" s="1" t="s">
        <v>323</v>
      </c>
    </row>
    <row r="11" spans="1:4" x14ac:dyDescent="0.3">
      <c r="A11" s="1"/>
      <c r="B11" s="1" t="s">
        <v>147</v>
      </c>
      <c r="C11" s="1" t="s">
        <v>146</v>
      </c>
      <c r="D11" s="1" t="s">
        <v>148</v>
      </c>
    </row>
    <row r="12" spans="1:4" x14ac:dyDescent="0.3">
      <c r="A12" s="1"/>
      <c r="B12" s="1" t="s">
        <v>147</v>
      </c>
      <c r="C12" s="1" t="s">
        <v>146</v>
      </c>
      <c r="D12" s="1" t="s">
        <v>149</v>
      </c>
    </row>
    <row r="13" spans="1:4" x14ac:dyDescent="0.3">
      <c r="A13" s="1"/>
      <c r="B13" s="1" t="s">
        <v>147</v>
      </c>
      <c r="C13" s="1" t="s">
        <v>146</v>
      </c>
      <c r="D13" s="1" t="s">
        <v>150</v>
      </c>
    </row>
    <row r="14" spans="1:4" x14ac:dyDescent="0.3">
      <c r="A14" s="1"/>
      <c r="B14" s="1" t="s">
        <v>147</v>
      </c>
      <c r="C14" s="1" t="s">
        <v>146</v>
      </c>
      <c r="D14" s="1" t="s">
        <v>151</v>
      </c>
    </row>
    <row r="15" spans="1:4" x14ac:dyDescent="0.3">
      <c r="A15" s="1"/>
      <c r="B15" s="1" t="s">
        <v>156</v>
      </c>
      <c r="C15" s="1" t="s">
        <v>126</v>
      </c>
      <c r="D15" s="1" t="s">
        <v>154</v>
      </c>
    </row>
    <row r="16" spans="1:4" x14ac:dyDescent="0.3">
      <c r="A16" s="1"/>
      <c r="B16" s="1" t="s">
        <v>156</v>
      </c>
      <c r="C16" s="1" t="s">
        <v>126</v>
      </c>
      <c r="D16" s="1" t="s">
        <v>155</v>
      </c>
    </row>
    <row r="17" spans="1:4" x14ac:dyDescent="0.3">
      <c r="A17" s="1"/>
      <c r="B17" s="1" t="s">
        <v>156</v>
      </c>
      <c r="C17" s="1" t="s">
        <v>126</v>
      </c>
      <c r="D17" s="1" t="s">
        <v>157</v>
      </c>
    </row>
    <row r="18" spans="1:4" x14ac:dyDescent="0.3">
      <c r="A18" s="1"/>
      <c r="B18" s="1" t="s">
        <v>156</v>
      </c>
      <c r="C18" s="1" t="s">
        <v>126</v>
      </c>
      <c r="D18" s="1" t="s">
        <v>158</v>
      </c>
    </row>
    <row r="19" spans="1:4" x14ac:dyDescent="0.3">
      <c r="A19" s="1"/>
      <c r="B19" s="1" t="s">
        <v>156</v>
      </c>
      <c r="C19" s="1" t="s">
        <v>126</v>
      </c>
      <c r="D19" s="1" t="s">
        <v>159</v>
      </c>
    </row>
    <row r="20" spans="1:4" x14ac:dyDescent="0.3">
      <c r="A20" s="1"/>
      <c r="B20" s="1" t="s">
        <v>293</v>
      </c>
      <c r="C20" s="1" t="s">
        <v>294</v>
      </c>
      <c r="D20" s="1" t="s">
        <v>181</v>
      </c>
    </row>
    <row r="21" spans="1:4" x14ac:dyDescent="0.3">
      <c r="A21" s="1"/>
      <c r="B21" s="1" t="s">
        <v>295</v>
      </c>
      <c r="C21" s="1" t="s">
        <v>180</v>
      </c>
      <c r="D21" s="1" t="s">
        <v>296</v>
      </c>
    </row>
    <row r="22" spans="1:4" x14ac:dyDescent="0.3">
      <c r="A22" s="1"/>
      <c r="B22" s="1" t="s">
        <v>295</v>
      </c>
      <c r="C22" s="1" t="s">
        <v>180</v>
      </c>
      <c r="D22" s="1" t="s">
        <v>297</v>
      </c>
    </row>
    <row r="23" spans="1:4" x14ac:dyDescent="0.3">
      <c r="A23" s="1"/>
      <c r="B23" s="1" t="s">
        <v>295</v>
      </c>
      <c r="C23" s="1" t="s">
        <v>298</v>
      </c>
      <c r="D23" s="1" t="s">
        <v>299</v>
      </c>
    </row>
    <row r="24" spans="1:4" x14ac:dyDescent="0.3">
      <c r="A24" s="1"/>
      <c r="B24" s="1" t="s">
        <v>373</v>
      </c>
      <c r="C24" s="1" t="s">
        <v>180</v>
      </c>
      <c r="D24" s="1" t="s">
        <v>372</v>
      </c>
    </row>
    <row r="25" spans="1:4" x14ac:dyDescent="0.3">
      <c r="A25" s="1"/>
      <c r="B25" s="1" t="s">
        <v>373</v>
      </c>
      <c r="C25" s="1" t="s">
        <v>180</v>
      </c>
      <c r="D25" s="1" t="s">
        <v>354</v>
      </c>
    </row>
    <row r="26" spans="1:4" x14ac:dyDescent="0.3">
      <c r="A26" s="1"/>
      <c r="B26" s="1" t="s">
        <v>373</v>
      </c>
      <c r="C26" s="1" t="s">
        <v>180</v>
      </c>
      <c r="D26" s="1" t="s">
        <v>383</v>
      </c>
    </row>
    <row r="27" spans="1:4" x14ac:dyDescent="0.3">
      <c r="A27" s="1"/>
      <c r="B27" s="1" t="s">
        <v>131</v>
      </c>
      <c r="C27" s="1" t="s">
        <v>126</v>
      </c>
      <c r="D27" s="1" t="s">
        <v>503</v>
      </c>
    </row>
    <row r="28" spans="1:4" x14ac:dyDescent="0.3">
      <c r="A28" s="1"/>
      <c r="B28" s="1" t="s">
        <v>131</v>
      </c>
      <c r="C28" s="1" t="s">
        <v>126</v>
      </c>
      <c r="D28" s="1" t="s">
        <v>500</v>
      </c>
    </row>
    <row r="29" spans="1:4" x14ac:dyDescent="0.3">
      <c r="A29" s="1"/>
      <c r="B29" s="1" t="s">
        <v>443</v>
      </c>
      <c r="C29" s="1" t="s">
        <v>444</v>
      </c>
      <c r="D29" s="1" t="s">
        <v>445</v>
      </c>
    </row>
    <row r="30" spans="1:4" x14ac:dyDescent="0.3">
      <c r="A30" s="1"/>
      <c r="B30" s="1" t="s">
        <v>492</v>
      </c>
      <c r="C30" s="1" t="s">
        <v>4</v>
      </c>
      <c r="D30" s="1" t="s">
        <v>493</v>
      </c>
    </row>
    <row r="31" spans="1:4" x14ac:dyDescent="0.3">
      <c r="A31" s="1"/>
      <c r="B31" s="1" t="s">
        <v>492</v>
      </c>
      <c r="C31" s="1" t="s">
        <v>4</v>
      </c>
      <c r="D31" s="1" t="s">
        <v>494</v>
      </c>
    </row>
    <row r="32" spans="1:4" x14ac:dyDescent="0.3">
      <c r="A32" s="1"/>
      <c r="B32" s="1" t="s">
        <v>492</v>
      </c>
      <c r="C32" s="1" t="s">
        <v>4</v>
      </c>
      <c r="D32" s="1" t="s">
        <v>495</v>
      </c>
    </row>
    <row r="33" spans="1:4" x14ac:dyDescent="0.3">
      <c r="A33" s="1"/>
      <c r="B33" s="1" t="s">
        <v>492</v>
      </c>
      <c r="C33" s="1" t="s">
        <v>4</v>
      </c>
      <c r="D33" s="1" t="s">
        <v>496</v>
      </c>
    </row>
    <row r="34" spans="1:4" x14ac:dyDescent="0.3">
      <c r="A34" s="1"/>
      <c r="B34" s="1" t="s">
        <v>492</v>
      </c>
      <c r="C34" s="1" t="s">
        <v>4</v>
      </c>
      <c r="D34" s="1" t="s">
        <v>498</v>
      </c>
    </row>
    <row r="35" spans="1:4" x14ac:dyDescent="0.3">
      <c r="A35" s="1"/>
      <c r="B35" s="1" t="s">
        <v>492</v>
      </c>
      <c r="C35" s="1" t="s">
        <v>4</v>
      </c>
      <c r="D35" s="1" t="s">
        <v>497</v>
      </c>
    </row>
    <row r="36" spans="1:4" x14ac:dyDescent="0.3">
      <c r="A36" s="1"/>
      <c r="B36" s="1" t="s">
        <v>131</v>
      </c>
      <c r="C36" s="1" t="s">
        <v>126</v>
      </c>
      <c r="D36" s="1" t="s">
        <v>501</v>
      </c>
    </row>
    <row r="37" spans="1:4" x14ac:dyDescent="0.3">
      <c r="A37" s="1"/>
      <c r="B37" s="1" t="s">
        <v>327</v>
      </c>
      <c r="C37" s="1" t="s">
        <v>327</v>
      </c>
      <c r="D37" s="1" t="s">
        <v>504</v>
      </c>
    </row>
    <row r="38" spans="1:4" x14ac:dyDescent="0.3">
      <c r="A38" s="1"/>
      <c r="B38" s="1" t="s">
        <v>507</v>
      </c>
      <c r="C38" s="1" t="s">
        <v>508</v>
      </c>
      <c r="D38" s="1" t="s">
        <v>509</v>
      </c>
    </row>
    <row r="39" spans="1:4" x14ac:dyDescent="0.3">
      <c r="A39" s="1"/>
      <c r="B39" s="1" t="s">
        <v>317</v>
      </c>
      <c r="C39" s="1" t="s">
        <v>511</v>
      </c>
      <c r="D39" s="1" t="s">
        <v>512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A444-93A4-4A88-AAD8-5F3D77E29C54}">
  <dimension ref="A1:S7"/>
  <sheetViews>
    <sheetView workbookViewId="0">
      <selection activeCell="H6" sqref="H6"/>
    </sheetView>
  </sheetViews>
  <sheetFormatPr defaultRowHeight="14.4" x14ac:dyDescent="0.3"/>
  <cols>
    <col min="1" max="1" width="10.5546875" bestFit="1" customWidth="1"/>
    <col min="2" max="2" width="17.33203125" bestFit="1" customWidth="1"/>
    <col min="3" max="3" width="17" bestFit="1" customWidth="1"/>
    <col min="4" max="4" width="23" bestFit="1" customWidth="1"/>
    <col min="5" max="5" width="17.88671875" customWidth="1"/>
    <col min="6" max="6" width="21.77734375" bestFit="1" customWidth="1"/>
    <col min="7" max="7" width="24.21875" customWidth="1"/>
    <col min="8" max="8" width="10.88671875" bestFit="1" customWidth="1"/>
    <col min="9" max="9" width="11.6640625" bestFit="1" customWidth="1"/>
    <col min="10" max="10" width="23.77734375" bestFit="1" customWidth="1"/>
    <col min="11" max="11" width="24.5546875" bestFit="1" customWidth="1"/>
    <col min="12" max="12" width="11.109375" bestFit="1" customWidth="1"/>
    <col min="13" max="13" width="22.6640625" customWidth="1"/>
    <col min="14" max="14" width="20.33203125" customWidth="1"/>
    <col min="15" max="15" width="28.88671875" customWidth="1"/>
    <col min="16" max="16" width="43.109375" customWidth="1"/>
    <col min="17" max="17" width="15.88671875" customWidth="1"/>
    <col min="18" max="18" width="11" customWidth="1"/>
    <col min="19" max="19" width="37.55468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138</v>
      </c>
      <c r="E1" s="1" t="s">
        <v>13</v>
      </c>
      <c r="F1" s="1" t="s">
        <v>139</v>
      </c>
      <c r="G1" s="1" t="s">
        <v>140</v>
      </c>
      <c r="H1" s="1" t="s">
        <v>141</v>
      </c>
      <c r="I1" s="1" t="s">
        <v>152</v>
      </c>
      <c r="J1" s="1" t="s">
        <v>173</v>
      </c>
      <c r="K1" s="1" t="s">
        <v>174</v>
      </c>
      <c r="L1" s="1" t="s">
        <v>175</v>
      </c>
      <c r="M1" s="1" t="s">
        <v>327</v>
      </c>
      <c r="N1" s="1" t="s">
        <v>328</v>
      </c>
      <c r="O1" s="1" t="s">
        <v>329</v>
      </c>
      <c r="P1" s="1" t="s">
        <v>330</v>
      </c>
      <c r="Q1" s="1" t="s">
        <v>336</v>
      </c>
      <c r="R1" s="1" t="s">
        <v>409</v>
      </c>
      <c r="S1" s="1" t="s">
        <v>450</v>
      </c>
    </row>
    <row r="2" spans="1:19" x14ac:dyDescent="0.3">
      <c r="A2" s="1" t="s">
        <v>3</v>
      </c>
      <c r="B2" s="1" t="s">
        <v>136</v>
      </c>
      <c r="C2" s="1" t="s">
        <v>137</v>
      </c>
      <c r="D2" s="4" t="s">
        <v>48</v>
      </c>
      <c r="E2" s="2" t="s">
        <v>17</v>
      </c>
      <c r="F2" s="1" t="s">
        <v>20</v>
      </c>
      <c r="G2" s="1" t="s">
        <v>142</v>
      </c>
      <c r="H2" s="1" t="s">
        <v>143</v>
      </c>
      <c r="I2" s="1" t="s">
        <v>153</v>
      </c>
      <c r="J2" s="1" t="s">
        <v>176</v>
      </c>
      <c r="K2" s="1" t="s">
        <v>177</v>
      </c>
      <c r="L2" s="1" t="s">
        <v>178</v>
      </c>
      <c r="M2" s="1" t="s">
        <v>320</v>
      </c>
      <c r="N2" s="1" t="s">
        <v>179</v>
      </c>
      <c r="O2" s="1" t="s">
        <v>331</v>
      </c>
      <c r="P2" s="1" t="s">
        <v>332</v>
      </c>
      <c r="Q2" s="1" t="s">
        <v>337</v>
      </c>
      <c r="R2" s="1" t="s">
        <v>449</v>
      </c>
      <c r="S2" s="1" t="s">
        <v>451</v>
      </c>
    </row>
    <row r="3" spans="1:19" x14ac:dyDescent="0.3">
      <c r="A3" s="1"/>
      <c r="B3" s="1"/>
      <c r="C3" s="1"/>
      <c r="D3" s="1" t="s">
        <v>49</v>
      </c>
      <c r="E3" s="1" t="s">
        <v>18</v>
      </c>
      <c r="F3" s="1" t="s">
        <v>21</v>
      </c>
      <c r="G3" s="1" t="s">
        <v>144</v>
      </c>
      <c r="H3" s="1" t="s">
        <v>145</v>
      </c>
      <c r="I3" s="1" t="s">
        <v>437</v>
      </c>
      <c r="J3" s="1" t="s">
        <v>179</v>
      </c>
      <c r="K3" s="1"/>
      <c r="L3" s="1"/>
      <c r="M3" s="1" t="s">
        <v>320</v>
      </c>
      <c r="N3" s="1" t="s">
        <v>177</v>
      </c>
      <c r="O3" s="1" t="s">
        <v>333</v>
      </c>
      <c r="P3" s="1" t="s">
        <v>334</v>
      </c>
      <c r="Q3" s="1"/>
      <c r="R3" s="1"/>
      <c r="S3" s="1"/>
    </row>
    <row r="4" spans="1:19" x14ac:dyDescent="0.3">
      <c r="A4" s="1"/>
      <c r="B4" s="1"/>
      <c r="C4" s="1"/>
      <c r="D4" s="1" t="s">
        <v>53</v>
      </c>
      <c r="E4" s="1" t="s">
        <v>19</v>
      </c>
      <c r="F4" s="1" t="s">
        <v>22</v>
      </c>
      <c r="G4" s="1" t="s">
        <v>326</v>
      </c>
      <c r="H4" s="1" t="s">
        <v>325</v>
      </c>
      <c r="I4" s="1" t="s">
        <v>302</v>
      </c>
      <c r="J4" s="1"/>
      <c r="K4" s="1"/>
      <c r="L4" s="1"/>
      <c r="M4" s="1"/>
      <c r="N4" s="1" t="s">
        <v>438</v>
      </c>
      <c r="O4" s="1"/>
      <c r="P4" s="1" t="s">
        <v>335</v>
      </c>
      <c r="Q4" s="1"/>
      <c r="R4" s="1"/>
      <c r="S4" s="1"/>
    </row>
    <row r="5" spans="1:19" x14ac:dyDescent="0.3">
      <c r="A5" s="1"/>
      <c r="B5" s="1"/>
      <c r="C5" s="1"/>
      <c r="D5" s="1" t="s">
        <v>68</v>
      </c>
      <c r="E5" s="1" t="s">
        <v>195</v>
      </c>
      <c r="F5" s="1" t="s">
        <v>23</v>
      </c>
      <c r="G5" s="1" t="s">
        <v>458</v>
      </c>
      <c r="H5" s="1"/>
      <c r="I5" s="1"/>
      <c r="J5" s="1"/>
      <c r="K5" s="1"/>
      <c r="L5" s="1"/>
      <c r="M5" s="1"/>
      <c r="N5" s="1"/>
      <c r="O5" s="1"/>
      <c r="P5" s="1" t="s">
        <v>440</v>
      </c>
      <c r="Q5" s="1"/>
      <c r="R5" s="1"/>
      <c r="S5" s="1"/>
    </row>
    <row r="6" spans="1:19" x14ac:dyDescent="0.3">
      <c r="A6" s="1"/>
      <c r="B6" s="1"/>
      <c r="C6" s="1"/>
      <c r="D6" s="1" t="s">
        <v>355</v>
      </c>
      <c r="E6" s="1"/>
      <c r="F6" s="1" t="s">
        <v>307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">
      <c r="A7" s="1"/>
      <c r="B7" s="1"/>
      <c r="C7" s="1"/>
      <c r="D7" s="1"/>
      <c r="E7" s="1"/>
      <c r="F7" s="1" t="s">
        <v>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8108-E0DD-4063-945F-09210D937132}">
  <dimension ref="A1:F4"/>
  <sheetViews>
    <sheetView workbookViewId="0">
      <selection activeCell="I28" sqref="I28"/>
    </sheetView>
  </sheetViews>
  <sheetFormatPr defaultRowHeight="14.4" x14ac:dyDescent="0.3"/>
  <cols>
    <col min="1" max="1" width="10.5546875" bestFit="1" customWidth="1"/>
    <col min="2" max="2" width="13.77734375" bestFit="1" customWidth="1"/>
    <col min="3" max="3" width="17" bestFit="1" customWidth="1"/>
    <col min="4" max="4" width="11.77734375" bestFit="1" customWidth="1"/>
    <col min="5" max="5" width="14" bestFit="1" customWidth="1"/>
    <col min="6" max="6" width="16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71</v>
      </c>
      <c r="E1" s="1" t="s">
        <v>72</v>
      </c>
      <c r="F1" s="1" t="s">
        <v>56</v>
      </c>
    </row>
    <row r="2" spans="1:6" x14ac:dyDescent="0.3">
      <c r="A2" s="1" t="s">
        <v>3</v>
      </c>
      <c r="B2" s="1" t="s">
        <v>70</v>
      </c>
      <c r="C2" s="1" t="s">
        <v>54</v>
      </c>
      <c r="D2" s="4" t="s">
        <v>76</v>
      </c>
      <c r="E2" s="2" t="s">
        <v>77</v>
      </c>
      <c r="F2" s="1" t="s">
        <v>78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40B9-E9D2-4137-B55A-6110199F12DA}">
  <dimension ref="A1:F7"/>
  <sheetViews>
    <sheetView tabSelected="1" workbookViewId="0">
      <selection activeCell="E13" sqref="E13"/>
    </sheetView>
  </sheetViews>
  <sheetFormatPr defaultRowHeight="14.4" x14ac:dyDescent="0.3"/>
  <cols>
    <col min="1" max="1" width="10.5546875" bestFit="1" customWidth="1"/>
    <col min="2" max="2" width="20.44140625" bestFit="1" customWidth="1"/>
    <col min="3" max="3" width="26.33203125" bestFit="1" customWidth="1"/>
    <col min="4" max="4" width="14.77734375" bestFit="1" customWidth="1"/>
    <col min="5" max="5" width="19.5546875" bestFit="1" customWidth="1"/>
    <col min="6" max="6" width="14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52</v>
      </c>
      <c r="F1" s="1" t="s">
        <v>400</v>
      </c>
    </row>
    <row r="2" spans="1:6" x14ac:dyDescent="0.3">
      <c r="A2" s="1" t="s">
        <v>3</v>
      </c>
      <c r="B2" s="1" t="s">
        <v>51</v>
      </c>
      <c r="C2" s="1" t="s">
        <v>50</v>
      </c>
      <c r="D2" s="1" t="s">
        <v>523</v>
      </c>
      <c r="E2" s="1" t="s">
        <v>300</v>
      </c>
      <c r="F2" s="4" t="s">
        <v>524</v>
      </c>
    </row>
    <row r="3" spans="1:6" x14ac:dyDescent="0.3">
      <c r="A3" s="1"/>
      <c r="B3" s="1"/>
      <c r="C3" s="1"/>
      <c r="D3" s="1" t="s">
        <v>53</v>
      </c>
      <c r="E3" s="1" t="s">
        <v>455</v>
      </c>
      <c r="F3" s="1"/>
    </row>
    <row r="4" spans="1:6" x14ac:dyDescent="0.3">
      <c r="A4" s="1"/>
      <c r="B4" s="1"/>
      <c r="C4" s="1"/>
      <c r="D4" s="1" t="s">
        <v>48</v>
      </c>
      <c r="E4" s="1" t="s">
        <v>456</v>
      </c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94436-08A5-41E5-A76E-862CAD949D65}">
  <dimension ref="A1:H2"/>
  <sheetViews>
    <sheetView workbookViewId="0">
      <selection sqref="A1:XFD1048576"/>
    </sheetView>
  </sheetViews>
  <sheetFormatPr defaultRowHeight="14.4" x14ac:dyDescent="0.3"/>
  <cols>
    <col min="2" max="2" width="13.77734375" bestFit="1" customWidth="1"/>
    <col min="3" max="3" width="20.109375" customWidth="1"/>
    <col min="4" max="4" width="38.109375" customWidth="1"/>
    <col min="5" max="5" width="14.5546875" bestFit="1" customWidth="1"/>
    <col min="6" max="6" width="10.44140625" bestFit="1" customWidth="1"/>
    <col min="8" max="8" width="18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441</v>
      </c>
      <c r="H1" s="1" t="s">
        <v>446</v>
      </c>
    </row>
    <row r="2" spans="1:8" x14ac:dyDescent="0.3">
      <c r="A2" s="1" t="s">
        <v>3</v>
      </c>
      <c r="B2" s="1" t="s">
        <v>486</v>
      </c>
      <c r="C2" s="1" t="s">
        <v>5</v>
      </c>
      <c r="D2" s="3" t="s">
        <v>481</v>
      </c>
      <c r="E2" s="2" t="s">
        <v>160</v>
      </c>
      <c r="F2" s="1" t="s">
        <v>193</v>
      </c>
      <c r="G2" s="1" t="s">
        <v>483</v>
      </c>
      <c r="H2" s="1" t="s">
        <v>510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D90EE-D729-45A4-860E-0EBB2762FCBD}">
  <dimension ref="A1:K7"/>
  <sheetViews>
    <sheetView workbookViewId="0">
      <selection activeCell="E5" sqref="E5"/>
    </sheetView>
  </sheetViews>
  <sheetFormatPr defaultRowHeight="14.4" x14ac:dyDescent="0.3"/>
  <cols>
    <col min="1" max="1" width="10.5546875" bestFit="1" customWidth="1"/>
    <col min="2" max="2" width="17.77734375" bestFit="1" customWidth="1"/>
    <col min="3" max="3" width="22.6640625" bestFit="1" customWidth="1"/>
    <col min="4" max="4" width="15.21875" bestFit="1" customWidth="1"/>
    <col min="5" max="5" width="12.21875" bestFit="1" customWidth="1"/>
    <col min="6" max="6" width="28.77734375" bestFit="1" customWidth="1"/>
    <col min="7" max="7" width="14.5546875" bestFit="1" customWidth="1"/>
    <col min="8" max="8" width="13.21875" customWidth="1"/>
    <col min="9" max="9" width="12.109375" customWidth="1"/>
    <col min="10" max="10" width="30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39</v>
      </c>
      <c r="F1" s="1" t="s">
        <v>6</v>
      </c>
      <c r="G1" s="1" t="s">
        <v>7</v>
      </c>
      <c r="H1" s="1" t="s">
        <v>309</v>
      </c>
      <c r="I1" s="1" t="s">
        <v>310</v>
      </c>
      <c r="J1" s="1" t="s">
        <v>311</v>
      </c>
      <c r="K1" s="1" t="s">
        <v>407</v>
      </c>
    </row>
    <row r="2" spans="1:11" x14ac:dyDescent="0.3">
      <c r="A2" s="1" t="s">
        <v>164</v>
      </c>
      <c r="B2" s="1" t="s">
        <v>163</v>
      </c>
      <c r="C2" s="1" t="s">
        <v>162</v>
      </c>
      <c r="D2" s="2" t="s">
        <v>49</v>
      </c>
      <c r="E2" s="2" t="s">
        <v>305</v>
      </c>
      <c r="F2" s="3" t="s">
        <v>513</v>
      </c>
      <c r="G2" s="1" t="s">
        <v>161</v>
      </c>
      <c r="H2" s="1"/>
      <c r="I2" s="1"/>
      <c r="J2" s="1"/>
      <c r="K2" s="1" t="s">
        <v>442</v>
      </c>
    </row>
    <row r="3" spans="1:11" x14ac:dyDescent="0.3">
      <c r="A3" s="1"/>
      <c r="B3" s="1"/>
      <c r="C3" s="1"/>
      <c r="D3" s="1" t="s">
        <v>53</v>
      </c>
      <c r="E3" s="1" t="s">
        <v>437</v>
      </c>
      <c r="F3" s="1"/>
      <c r="G3" s="1"/>
      <c r="H3" s="1" t="s">
        <v>312</v>
      </c>
      <c r="I3" s="1" t="s">
        <v>313</v>
      </c>
      <c r="J3" s="13" t="s">
        <v>485</v>
      </c>
      <c r="K3" s="1"/>
    </row>
    <row r="4" spans="1:11" x14ac:dyDescent="0.3">
      <c r="A4" s="1"/>
      <c r="B4" s="1"/>
      <c r="C4" s="1"/>
      <c r="D4" s="1"/>
      <c r="E4" s="1" t="s">
        <v>452</v>
      </c>
      <c r="F4" s="1"/>
      <c r="G4" s="1"/>
      <c r="H4" s="1"/>
      <c r="I4" s="1"/>
      <c r="J4" s="1"/>
      <c r="K4" s="1"/>
    </row>
    <row r="5" spans="1:11" x14ac:dyDescent="0.3">
      <c r="A5" s="1" t="s">
        <v>472</v>
      </c>
      <c r="B5" s="1" t="s">
        <v>473</v>
      </c>
      <c r="C5" s="1" t="s">
        <v>162</v>
      </c>
      <c r="D5" s="2" t="s">
        <v>48</v>
      </c>
      <c r="E5" s="1" t="s">
        <v>302</v>
      </c>
      <c r="F5" s="3" t="s">
        <v>514</v>
      </c>
      <c r="G5" s="1" t="s">
        <v>474</v>
      </c>
      <c r="H5" s="1"/>
      <c r="I5" s="1"/>
      <c r="J5" s="1"/>
      <c r="K5" s="1"/>
    </row>
    <row r="6" spans="1:11" x14ac:dyDescent="0.3">
      <c r="A6" s="1"/>
      <c r="B6" s="1"/>
      <c r="C6" s="1"/>
      <c r="D6" s="1"/>
      <c r="E6" s="1"/>
      <c r="F6" s="1"/>
      <c r="G6" s="1"/>
      <c r="H6" s="1" t="s">
        <v>475</v>
      </c>
      <c r="I6" s="1" t="s">
        <v>476</v>
      </c>
      <c r="J6" s="13" t="s">
        <v>477</v>
      </c>
      <c r="K6" s="1" t="s">
        <v>478</v>
      </c>
    </row>
    <row r="7" spans="1:1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</sheetData>
  <hyperlinks>
    <hyperlink ref="F2" r:id="rId1" xr:uid="{B1B2EBB8-E143-435B-9FEB-05D525CC589C}"/>
    <hyperlink ref="J3" r:id="rId2" xr:uid="{563B5CA0-64AE-4F46-B342-D5370B3BA4D1}"/>
    <hyperlink ref="J6" r:id="rId3" xr:uid="{1B04E4B4-EB03-4FE0-B8D3-F95B5286AC88}"/>
    <hyperlink ref="F5" r:id="rId4" xr:uid="{A3840292-A9FE-48C8-B439-DE10C5717214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D87C-C567-4754-BD7E-E8FD0F66A812}">
  <dimension ref="A1:K2"/>
  <sheetViews>
    <sheetView workbookViewId="0">
      <selection activeCell="J2" sqref="J2"/>
    </sheetView>
  </sheetViews>
  <sheetFormatPr defaultRowHeight="14.4" x14ac:dyDescent="0.3"/>
  <cols>
    <col min="1" max="1" width="10.5546875" bestFit="1" customWidth="1"/>
    <col min="2" max="2" width="16.77734375" bestFit="1" customWidth="1"/>
    <col min="3" max="3" width="22.6640625" bestFit="1" customWidth="1"/>
    <col min="4" max="4" width="20.77734375" bestFit="1" customWidth="1"/>
    <col min="5" max="5" width="12.21875" bestFit="1" customWidth="1"/>
    <col min="6" max="6" width="28.44140625" bestFit="1" customWidth="1"/>
    <col min="7" max="7" width="14.5546875" bestFit="1" customWidth="1"/>
    <col min="8" max="8" width="9.88671875" bestFit="1" customWidth="1"/>
    <col min="9" max="9" width="9.33203125" bestFit="1" customWidth="1"/>
    <col min="10" max="10" width="29.33203125" customWidth="1"/>
    <col min="11" max="11" width="11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39</v>
      </c>
      <c r="F1" s="1" t="s">
        <v>6</v>
      </c>
      <c r="G1" s="1" t="s">
        <v>7</v>
      </c>
      <c r="H1" s="1" t="s">
        <v>171</v>
      </c>
      <c r="I1" s="1" t="s">
        <v>170</v>
      </c>
      <c r="J1" s="1" t="s">
        <v>169</v>
      </c>
      <c r="K1" s="1" t="s">
        <v>447</v>
      </c>
    </row>
    <row r="2" spans="1:11" x14ac:dyDescent="0.3">
      <c r="A2" s="1" t="s">
        <v>164</v>
      </c>
      <c r="B2" s="1" t="s">
        <v>168</v>
      </c>
      <c r="C2" s="1" t="s">
        <v>162</v>
      </c>
      <c r="D2" s="2" t="s">
        <v>68</v>
      </c>
      <c r="E2" s="2" t="s">
        <v>304</v>
      </c>
      <c r="F2" s="3" t="s">
        <v>172</v>
      </c>
      <c r="G2" s="1" t="s">
        <v>167</v>
      </c>
      <c r="H2" s="1" t="s">
        <v>166</v>
      </c>
      <c r="I2" s="1" t="s">
        <v>165</v>
      </c>
      <c r="J2" s="13" t="s">
        <v>502</v>
      </c>
      <c r="K2" s="1" t="s">
        <v>448</v>
      </c>
    </row>
  </sheetData>
  <hyperlinks>
    <hyperlink ref="J2" r:id="rId1" xr:uid="{0876BA10-32C2-4574-A101-C86A75F68F38}"/>
    <hyperlink ref="F2" r:id="rId2" xr:uid="{EC16B898-65EF-442F-A54F-19DC6A62EE5A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E7FE0-D593-4035-9F5A-06CD53E62D0E}">
  <dimension ref="A1:AA7"/>
  <sheetViews>
    <sheetView topLeftCell="R1" workbookViewId="0">
      <selection activeCell="AA11" sqref="AA11"/>
    </sheetView>
  </sheetViews>
  <sheetFormatPr defaultRowHeight="14.4" x14ac:dyDescent="0.3"/>
  <cols>
    <col min="1" max="1" width="8.33203125" bestFit="1" customWidth="1"/>
    <col min="2" max="3" width="17.88671875" bestFit="1" customWidth="1"/>
    <col min="4" max="4" width="14.44140625" bestFit="1" customWidth="1"/>
    <col min="5" max="5" width="23.77734375" bestFit="1" customWidth="1"/>
    <col min="6" max="6" width="16.21875" bestFit="1" customWidth="1"/>
    <col min="7" max="7" width="19" bestFit="1" customWidth="1"/>
    <col min="8" max="8" width="13.33203125" bestFit="1" customWidth="1"/>
    <col min="9" max="9" width="15.6640625" bestFit="1" customWidth="1"/>
    <col min="10" max="10" width="14.6640625" bestFit="1" customWidth="1"/>
    <col min="12" max="12" width="16.77734375" bestFit="1" customWidth="1"/>
    <col min="13" max="13" width="11.21875" bestFit="1" customWidth="1"/>
    <col min="17" max="17" width="15.33203125" customWidth="1"/>
    <col min="18" max="18" width="13.5546875" customWidth="1"/>
    <col min="19" max="19" width="21.33203125" customWidth="1"/>
    <col min="20" max="20" width="16.33203125" customWidth="1"/>
    <col min="21" max="21" width="14.77734375" customWidth="1"/>
    <col min="22" max="22" width="23.6640625" customWidth="1"/>
    <col min="23" max="23" width="22.77734375" customWidth="1"/>
    <col min="24" max="24" width="25.21875" customWidth="1"/>
    <col min="25" max="25" width="22.21875" customWidth="1"/>
    <col min="26" max="26" width="18.33203125" customWidth="1"/>
    <col min="27" max="27" width="22.4414062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226</v>
      </c>
      <c r="E1" s="1" t="s">
        <v>227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  <c r="O1" s="1" t="s">
        <v>239</v>
      </c>
      <c r="P1" s="1" t="s">
        <v>240</v>
      </c>
      <c r="Q1" s="1" t="s">
        <v>10</v>
      </c>
      <c r="R1" s="1" t="s">
        <v>39</v>
      </c>
      <c r="S1" s="1" t="s">
        <v>338</v>
      </c>
      <c r="T1" s="1" t="s">
        <v>339</v>
      </c>
      <c r="U1" s="1" t="s">
        <v>327</v>
      </c>
      <c r="V1" s="1" t="s">
        <v>366</v>
      </c>
      <c r="W1" s="1" t="s">
        <v>367</v>
      </c>
      <c r="X1" s="1" t="s">
        <v>371</v>
      </c>
      <c r="Y1" s="1" t="s">
        <v>374</v>
      </c>
      <c r="Z1" s="1" t="s">
        <v>376</v>
      </c>
      <c r="AA1" s="1" t="s">
        <v>384</v>
      </c>
    </row>
    <row r="2" spans="1:27" x14ac:dyDescent="0.3">
      <c r="A2" s="1" t="s">
        <v>3</v>
      </c>
      <c r="B2" s="1" t="s">
        <v>180</v>
      </c>
      <c r="C2" s="1" t="s">
        <v>180</v>
      </c>
      <c r="D2" s="1" t="s">
        <v>228</v>
      </c>
      <c r="E2" s="1" t="s">
        <v>229</v>
      </c>
      <c r="F2" s="1" t="s">
        <v>241</v>
      </c>
      <c r="G2" s="12" t="s">
        <v>242</v>
      </c>
      <c r="H2" s="1" t="s">
        <v>243</v>
      </c>
      <c r="I2" s="1" t="s">
        <v>244</v>
      </c>
      <c r="J2" s="1" t="s">
        <v>245</v>
      </c>
      <c r="K2" s="1" t="s">
        <v>246</v>
      </c>
      <c r="L2" s="1" t="s">
        <v>247</v>
      </c>
      <c r="M2" s="1" t="s">
        <v>248</v>
      </c>
      <c r="N2" s="1" t="s">
        <v>249</v>
      </c>
      <c r="O2" s="1" t="s">
        <v>250</v>
      </c>
      <c r="P2" s="1" t="s">
        <v>251</v>
      </c>
      <c r="Q2" s="1" t="s">
        <v>53</v>
      </c>
      <c r="R2" s="1" t="s">
        <v>437</v>
      </c>
      <c r="S2" s="1" t="s">
        <v>438</v>
      </c>
      <c r="T2" s="1" t="s">
        <v>340</v>
      </c>
      <c r="U2" s="1" t="s">
        <v>320</v>
      </c>
      <c r="V2" s="1" t="s">
        <v>352</v>
      </c>
      <c r="W2" s="1" t="s">
        <v>368</v>
      </c>
      <c r="X2" s="1" t="s">
        <v>372</v>
      </c>
      <c r="Y2" s="1" t="s">
        <v>375</v>
      </c>
      <c r="Z2" s="1" t="s">
        <v>377</v>
      </c>
      <c r="AA2" s="1" t="s">
        <v>467</v>
      </c>
    </row>
    <row r="3" spans="1:27" x14ac:dyDescent="0.3">
      <c r="F3" s="1" t="s">
        <v>252</v>
      </c>
      <c r="G3" s="12" t="s">
        <v>253</v>
      </c>
      <c r="H3" s="1" t="s">
        <v>254</v>
      </c>
      <c r="I3" s="1" t="s">
        <v>255</v>
      </c>
      <c r="J3" s="1" t="s">
        <v>256</v>
      </c>
      <c r="K3" s="1" t="s">
        <v>257</v>
      </c>
      <c r="L3" s="1" t="s">
        <v>258</v>
      </c>
      <c r="M3" s="1" t="s">
        <v>259</v>
      </c>
      <c r="N3" s="1" t="s">
        <v>260</v>
      </c>
      <c r="O3" s="1" t="s">
        <v>250</v>
      </c>
      <c r="P3" s="1" t="s">
        <v>261</v>
      </c>
      <c r="Q3" s="1"/>
      <c r="R3" s="1"/>
      <c r="S3" s="1"/>
      <c r="T3" s="1" t="s">
        <v>341</v>
      </c>
      <c r="U3" s="1"/>
      <c r="V3" s="1" t="s">
        <v>353</v>
      </c>
      <c r="W3" s="1" t="s">
        <v>297</v>
      </c>
      <c r="X3" s="1" t="s">
        <v>354</v>
      </c>
      <c r="Y3" s="1"/>
      <c r="Z3" s="1" t="s">
        <v>378</v>
      </c>
      <c r="AA3" s="1" t="s">
        <v>506</v>
      </c>
    </row>
    <row r="4" spans="1:27" x14ac:dyDescent="0.3">
      <c r="F4" s="1" t="s">
        <v>262</v>
      </c>
      <c r="G4" s="12" t="s">
        <v>263</v>
      </c>
      <c r="H4" s="1" t="s">
        <v>264</v>
      </c>
      <c r="I4" s="1" t="s">
        <v>265</v>
      </c>
      <c r="J4" s="1" t="s">
        <v>266</v>
      </c>
      <c r="K4" s="1" t="s">
        <v>267</v>
      </c>
      <c r="L4" s="1" t="s">
        <v>268</v>
      </c>
      <c r="M4" s="1" t="s">
        <v>269</v>
      </c>
      <c r="N4" s="1" t="s">
        <v>270</v>
      </c>
      <c r="O4" s="1" t="s">
        <v>250</v>
      </c>
      <c r="P4" s="1" t="s">
        <v>271</v>
      </c>
      <c r="Q4" s="1"/>
      <c r="R4" s="1"/>
      <c r="S4" s="1"/>
      <c r="T4" s="1"/>
      <c r="U4" s="1"/>
      <c r="V4" s="1" t="s">
        <v>299</v>
      </c>
      <c r="W4" s="1" t="s">
        <v>369</v>
      </c>
      <c r="X4" s="1" t="s">
        <v>383</v>
      </c>
      <c r="Y4" s="1"/>
      <c r="Z4" s="1" t="s">
        <v>379</v>
      </c>
      <c r="AA4" s="1" t="s">
        <v>505</v>
      </c>
    </row>
    <row r="5" spans="1:27" x14ac:dyDescent="0.3">
      <c r="F5" s="1" t="s">
        <v>272</v>
      </c>
      <c r="G5" s="12" t="s">
        <v>273</v>
      </c>
      <c r="H5" s="1" t="s">
        <v>274</v>
      </c>
      <c r="I5" s="1" t="s">
        <v>275</v>
      </c>
      <c r="J5" s="1" t="s">
        <v>276</v>
      </c>
      <c r="K5" s="1" t="s">
        <v>277</v>
      </c>
      <c r="L5" s="1" t="s">
        <v>278</v>
      </c>
      <c r="M5" s="1" t="s">
        <v>279</v>
      </c>
      <c r="N5" s="1" t="s">
        <v>280</v>
      </c>
      <c r="O5" s="1" t="s">
        <v>250</v>
      </c>
      <c r="P5" s="1" t="s">
        <v>281</v>
      </c>
      <c r="Q5" s="1"/>
      <c r="R5" s="1"/>
      <c r="S5" s="1"/>
      <c r="T5" s="1"/>
      <c r="U5" s="1"/>
      <c r="V5" s="1" t="s">
        <v>354</v>
      </c>
      <c r="W5" s="1" t="s">
        <v>370</v>
      </c>
      <c r="X5" s="1"/>
      <c r="Y5" s="1"/>
      <c r="Z5" s="1" t="s">
        <v>380</v>
      </c>
      <c r="AA5" s="1" t="s">
        <v>468</v>
      </c>
    </row>
    <row r="6" spans="1:27" x14ac:dyDescent="0.3">
      <c r="F6" s="1" t="s">
        <v>282</v>
      </c>
      <c r="G6" s="12" t="s">
        <v>283</v>
      </c>
      <c r="H6" s="1" t="s">
        <v>284</v>
      </c>
      <c r="I6" s="1" t="s">
        <v>285</v>
      </c>
      <c r="J6" s="1" t="s">
        <v>286</v>
      </c>
      <c r="K6" s="1" t="s">
        <v>287</v>
      </c>
      <c r="L6" s="1" t="s">
        <v>288</v>
      </c>
      <c r="M6" s="1" t="s">
        <v>289</v>
      </c>
      <c r="N6" s="1" t="s">
        <v>290</v>
      </c>
      <c r="O6" s="1" t="s">
        <v>250</v>
      </c>
      <c r="P6" s="1" t="s">
        <v>291</v>
      </c>
      <c r="Q6" s="1"/>
      <c r="R6" s="1"/>
      <c r="S6" s="1"/>
      <c r="T6" s="1"/>
      <c r="U6" s="1"/>
      <c r="V6" s="1" t="s">
        <v>382</v>
      </c>
      <c r="W6" s="1"/>
      <c r="X6" s="1"/>
      <c r="Y6" s="1"/>
      <c r="Z6" s="1" t="s">
        <v>381</v>
      </c>
      <c r="AA6" s="1"/>
    </row>
    <row r="7" spans="1:27" x14ac:dyDescent="0.3">
      <c r="F7" s="1" t="s">
        <v>230</v>
      </c>
      <c r="G7" s="1" t="s">
        <v>365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AB10-01BB-4EFE-BD1A-603348D836D2}">
  <dimension ref="A1:U6"/>
  <sheetViews>
    <sheetView topLeftCell="B1" workbookViewId="0">
      <selection activeCell="P2" sqref="P2"/>
    </sheetView>
  </sheetViews>
  <sheetFormatPr defaultRowHeight="14.4" x14ac:dyDescent="0.3"/>
  <cols>
    <col min="1" max="1" width="8.33203125" bestFit="1" customWidth="1"/>
    <col min="4" max="4" width="10.77734375" customWidth="1"/>
    <col min="8" max="8" width="8.109375" bestFit="1" customWidth="1"/>
    <col min="9" max="9" width="7.44140625" bestFit="1" customWidth="1"/>
    <col min="15" max="15" width="16.6640625" customWidth="1"/>
    <col min="16" max="16" width="12.77734375" customWidth="1"/>
    <col min="17" max="17" width="13.88671875" customWidth="1"/>
    <col min="18" max="18" width="13.109375" customWidth="1"/>
    <col min="19" max="19" width="18.5546875" customWidth="1"/>
    <col min="20" max="20" width="13.33203125" customWidth="1"/>
  </cols>
  <sheetData>
    <row r="1" spans="1:21" ht="43.2" x14ac:dyDescent="0.3">
      <c r="A1" s="11" t="s">
        <v>0</v>
      </c>
      <c r="B1" s="11" t="s">
        <v>1</v>
      </c>
      <c r="C1" s="11" t="s">
        <v>2</v>
      </c>
      <c r="D1" s="11" t="s">
        <v>182</v>
      </c>
      <c r="E1" s="11" t="s">
        <v>183</v>
      </c>
      <c r="F1" s="11" t="s">
        <v>184</v>
      </c>
      <c r="G1" s="11" t="s">
        <v>185</v>
      </c>
      <c r="H1" s="11" t="s">
        <v>186</v>
      </c>
      <c r="I1" s="11" t="s">
        <v>212</v>
      </c>
      <c r="J1" s="11" t="s">
        <v>213</v>
      </c>
      <c r="K1" s="11" t="s">
        <v>215</v>
      </c>
      <c r="L1" s="11" t="s">
        <v>216</v>
      </c>
      <c r="M1" s="11" t="s">
        <v>413</v>
      </c>
      <c r="N1" s="11" t="s">
        <v>402</v>
      </c>
      <c r="O1" s="11" t="s">
        <v>414</v>
      </c>
      <c r="P1" s="11" t="s">
        <v>317</v>
      </c>
      <c r="Q1" s="11" t="s">
        <v>415</v>
      </c>
      <c r="R1" s="11" t="s">
        <v>317</v>
      </c>
      <c r="S1" s="1" t="s">
        <v>351</v>
      </c>
      <c r="T1" s="11" t="s">
        <v>418</v>
      </c>
      <c r="U1" s="11" t="s">
        <v>404</v>
      </c>
    </row>
    <row r="2" spans="1:21" ht="57.6" x14ac:dyDescent="0.3">
      <c r="A2" s="11" t="s">
        <v>3</v>
      </c>
      <c r="B2" s="11" t="s">
        <v>187</v>
      </c>
      <c r="C2" s="11" t="s">
        <v>188</v>
      </c>
      <c r="D2" s="11" t="s">
        <v>412</v>
      </c>
      <c r="E2" s="11" t="s">
        <v>189</v>
      </c>
      <c r="F2" s="11" t="s">
        <v>190</v>
      </c>
      <c r="G2" s="11" t="s">
        <v>191</v>
      </c>
      <c r="H2" s="11" t="s">
        <v>192</v>
      </c>
      <c r="I2" s="11" t="s">
        <v>217</v>
      </c>
      <c r="J2" s="11" t="s">
        <v>214</v>
      </c>
      <c r="K2" s="11" t="s">
        <v>218</v>
      </c>
      <c r="L2" s="11" t="s">
        <v>219</v>
      </c>
      <c r="M2" s="1" t="str">
        <f>"1.1"</f>
        <v>1.1</v>
      </c>
      <c r="N2" s="11" t="s">
        <v>53</v>
      </c>
      <c r="O2" s="1" t="s">
        <v>348</v>
      </c>
      <c r="P2" s="1" t="s">
        <v>437</v>
      </c>
      <c r="Q2" s="1" t="s">
        <v>416</v>
      </c>
      <c r="R2" s="1" t="s">
        <v>355</v>
      </c>
      <c r="S2" s="1" t="s">
        <v>355</v>
      </c>
      <c r="T2" s="1" t="s">
        <v>355</v>
      </c>
      <c r="U2" s="1" t="s">
        <v>355</v>
      </c>
    </row>
    <row r="3" spans="1:21" ht="57.6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 t="s">
        <v>220</v>
      </c>
      <c r="L3" s="11" t="s">
        <v>221</v>
      </c>
      <c r="M3" s="1"/>
      <c r="N3" s="1"/>
      <c r="O3" s="1" t="s">
        <v>349</v>
      </c>
      <c r="P3" s="1"/>
      <c r="Q3" s="1"/>
      <c r="R3" s="1" t="s">
        <v>431</v>
      </c>
      <c r="S3" s="1" t="s">
        <v>352</v>
      </c>
      <c r="T3" s="1" t="s">
        <v>419</v>
      </c>
      <c r="U3" s="1" t="s">
        <v>27</v>
      </c>
    </row>
    <row r="4" spans="1:21" ht="43.2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 t="s">
        <v>222</v>
      </c>
      <c r="L4" s="11" t="s">
        <v>223</v>
      </c>
      <c r="M4" s="1"/>
      <c r="N4" s="1"/>
      <c r="O4" s="1" t="s">
        <v>345</v>
      </c>
      <c r="P4" s="1"/>
      <c r="Q4" s="1"/>
      <c r="R4" s="1"/>
      <c r="S4" s="1" t="s">
        <v>353</v>
      </c>
      <c r="T4" s="1" t="s">
        <v>420</v>
      </c>
      <c r="U4" s="1" t="s">
        <v>26</v>
      </c>
    </row>
    <row r="5" spans="1:21" ht="57.6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 t="s">
        <v>224</v>
      </c>
      <c r="L5" s="11" t="s">
        <v>225</v>
      </c>
      <c r="M5" s="1"/>
      <c r="N5" s="1"/>
      <c r="O5" s="1" t="s">
        <v>350</v>
      </c>
      <c r="P5" s="1"/>
      <c r="Q5" s="1"/>
      <c r="R5" s="1"/>
      <c r="S5" s="1" t="s">
        <v>299</v>
      </c>
      <c r="T5" s="1" t="s">
        <v>350</v>
      </c>
      <c r="U5" s="1" t="s">
        <v>25</v>
      </c>
    </row>
    <row r="6" spans="1:2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 t="s">
        <v>411</v>
      </c>
      <c r="P6" s="1"/>
      <c r="Q6" s="1"/>
      <c r="R6" s="1"/>
      <c r="S6" s="1" t="s">
        <v>354</v>
      </c>
      <c r="T6" s="1" t="s">
        <v>382</v>
      </c>
      <c r="U6" s="1" t="s">
        <v>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80C3-594A-4ADD-BFB9-F3E3571C6086}">
  <dimension ref="A1:E3"/>
  <sheetViews>
    <sheetView workbookViewId="0">
      <selection activeCell="C3" sqref="C3"/>
    </sheetView>
  </sheetViews>
  <sheetFormatPr defaultRowHeight="14.4" x14ac:dyDescent="0.3"/>
  <cols>
    <col min="1" max="1" width="17.6640625" customWidth="1"/>
    <col min="2" max="2" width="18" customWidth="1"/>
    <col min="3" max="3" width="14.88671875" customWidth="1"/>
    <col min="4" max="4" width="15.33203125" customWidth="1"/>
    <col min="5" max="5" width="12.21875" customWidth="1"/>
  </cols>
  <sheetData>
    <row r="1" spans="1:5" x14ac:dyDescent="0.3">
      <c r="A1" t="s">
        <v>314</v>
      </c>
      <c r="B1" t="s">
        <v>10</v>
      </c>
      <c r="C1" t="s">
        <v>317</v>
      </c>
      <c r="D1" t="s">
        <v>319</v>
      </c>
      <c r="E1" t="s">
        <v>400</v>
      </c>
    </row>
    <row r="2" spans="1:5" x14ac:dyDescent="0.3">
      <c r="A2" t="s">
        <v>315</v>
      </c>
      <c r="B2" t="s">
        <v>48</v>
      </c>
      <c r="C2" t="s">
        <v>318</v>
      </c>
      <c r="D2" t="s">
        <v>320</v>
      </c>
      <c r="E2" t="s">
        <v>401</v>
      </c>
    </row>
    <row r="3" spans="1:5" x14ac:dyDescent="0.3">
      <c r="A3" t="s">
        <v>316</v>
      </c>
      <c r="B3" t="s">
        <v>53</v>
      </c>
      <c r="C3" t="s">
        <v>437</v>
      </c>
      <c r="D3" t="s">
        <v>438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DC08-2A1F-4654-9DE5-930E7B8D09AF}">
  <dimension ref="A1:J7"/>
  <sheetViews>
    <sheetView workbookViewId="0">
      <selection activeCell="D2" sqref="D2"/>
    </sheetView>
  </sheetViews>
  <sheetFormatPr defaultRowHeight="14.4" x14ac:dyDescent="0.3"/>
  <cols>
    <col min="1" max="1" width="17.44140625" customWidth="1"/>
    <col min="2" max="2" width="22.33203125" customWidth="1"/>
    <col min="3" max="3" width="25.77734375" customWidth="1"/>
    <col min="4" max="4" width="12.33203125" customWidth="1"/>
    <col min="5" max="5" width="18.88671875" customWidth="1"/>
    <col min="6" max="6" width="11.6640625" customWidth="1"/>
    <col min="7" max="7" width="11.109375" customWidth="1"/>
    <col min="8" max="8" width="16.77734375" customWidth="1"/>
    <col min="9" max="9" width="21.88671875" customWidth="1"/>
    <col min="10" max="10" width="23.33203125" customWidth="1"/>
  </cols>
  <sheetData>
    <row r="1" spans="1:10" x14ac:dyDescent="0.3">
      <c r="A1" s="1" t="s">
        <v>10</v>
      </c>
      <c r="B1" s="1" t="s">
        <v>342</v>
      </c>
      <c r="C1" s="1" t="s">
        <v>347</v>
      </c>
      <c r="D1" s="1" t="s">
        <v>317</v>
      </c>
      <c r="E1" s="1" t="s">
        <v>351</v>
      </c>
      <c r="F1" s="1" t="s">
        <v>356</v>
      </c>
      <c r="G1" s="1" t="s">
        <v>357</v>
      </c>
      <c r="H1" s="1" t="s">
        <v>363</v>
      </c>
      <c r="I1" s="8" t="s">
        <v>338</v>
      </c>
      <c r="J1" s="1" t="s">
        <v>410</v>
      </c>
    </row>
    <row r="2" spans="1:10" x14ac:dyDescent="0.3">
      <c r="A2" s="1" t="s">
        <v>53</v>
      </c>
      <c r="B2" s="1" t="s">
        <v>343</v>
      </c>
      <c r="C2" s="1" t="s">
        <v>348</v>
      </c>
      <c r="D2" s="1" t="s">
        <v>437</v>
      </c>
      <c r="E2" s="1" t="s">
        <v>355</v>
      </c>
      <c r="F2" s="1" t="s">
        <v>355</v>
      </c>
      <c r="G2" s="1" t="s">
        <v>355</v>
      </c>
      <c r="H2" s="1" t="s">
        <v>320</v>
      </c>
      <c r="I2" s="8" t="s">
        <v>438</v>
      </c>
      <c r="J2" s="1" t="s">
        <v>355</v>
      </c>
    </row>
    <row r="3" spans="1:10" x14ac:dyDescent="0.3">
      <c r="A3" s="1"/>
      <c r="B3" s="1" t="s">
        <v>344</v>
      </c>
      <c r="C3" s="1" t="s">
        <v>349</v>
      </c>
      <c r="D3" s="1"/>
      <c r="E3" s="1" t="s">
        <v>352</v>
      </c>
      <c r="F3" s="1" t="s">
        <v>358</v>
      </c>
      <c r="G3" s="1" t="s">
        <v>359</v>
      </c>
      <c r="H3" s="1"/>
      <c r="I3" s="8"/>
      <c r="J3" s="1" t="s">
        <v>348</v>
      </c>
    </row>
    <row r="4" spans="1:10" x14ac:dyDescent="0.3">
      <c r="A4" s="1"/>
      <c r="B4" s="1" t="s">
        <v>345</v>
      </c>
      <c r="C4" s="1" t="s">
        <v>345</v>
      </c>
      <c r="D4" s="1"/>
      <c r="E4" s="1" t="s">
        <v>353</v>
      </c>
      <c r="F4" s="1" t="s">
        <v>364</v>
      </c>
      <c r="G4" s="1" t="s">
        <v>360</v>
      </c>
      <c r="H4" s="1"/>
      <c r="I4" s="8"/>
      <c r="J4" s="1" t="s">
        <v>349</v>
      </c>
    </row>
    <row r="5" spans="1:10" x14ac:dyDescent="0.3">
      <c r="A5" s="1"/>
      <c r="B5" s="1" t="s">
        <v>346</v>
      </c>
      <c r="C5" s="1" t="s">
        <v>350</v>
      </c>
      <c r="D5" s="1"/>
      <c r="E5" s="1" t="s">
        <v>299</v>
      </c>
      <c r="F5" s="1"/>
      <c r="G5" s="1" t="s">
        <v>361</v>
      </c>
      <c r="H5" s="1"/>
      <c r="I5" s="8"/>
      <c r="J5" s="1" t="s">
        <v>345</v>
      </c>
    </row>
    <row r="6" spans="1:10" x14ac:dyDescent="0.3">
      <c r="A6" s="1"/>
      <c r="B6" s="1"/>
      <c r="C6" s="1"/>
      <c r="D6" s="1"/>
      <c r="E6" s="1" t="s">
        <v>354</v>
      </c>
      <c r="F6" s="1"/>
      <c r="G6" s="1" t="s">
        <v>362</v>
      </c>
      <c r="H6" s="1"/>
      <c r="I6" s="8"/>
      <c r="J6" s="1" t="s">
        <v>350</v>
      </c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 t="s">
        <v>411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ED37-4AB0-4A83-9145-F12AFEA423FE}">
  <dimension ref="A1:E4"/>
  <sheetViews>
    <sheetView workbookViewId="0">
      <selection activeCell="E8" sqref="E8"/>
    </sheetView>
  </sheetViews>
  <sheetFormatPr defaultRowHeight="14.4" x14ac:dyDescent="0.3"/>
  <cols>
    <col min="1" max="1" width="15.6640625" bestFit="1" customWidth="1"/>
    <col min="2" max="2" width="14.6640625" bestFit="1" customWidth="1"/>
    <col min="4" max="4" width="16.77734375" bestFit="1" customWidth="1"/>
    <col min="5" max="5" width="11.21875" bestFit="1" customWidth="1"/>
  </cols>
  <sheetData>
    <row r="1" spans="1:5" x14ac:dyDescent="0.3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</row>
    <row r="2" spans="1:5" x14ac:dyDescent="0.3">
      <c r="A2" s="1" t="s">
        <v>385</v>
      </c>
      <c r="B2" s="1" t="s">
        <v>387</v>
      </c>
      <c r="C2" s="1" t="s">
        <v>389</v>
      </c>
      <c r="D2" s="1" t="s">
        <v>391</v>
      </c>
      <c r="E2" s="1" t="s">
        <v>393</v>
      </c>
    </row>
    <row r="3" spans="1:5" x14ac:dyDescent="0.3">
      <c r="A3" s="1" t="s">
        <v>386</v>
      </c>
      <c r="B3" s="1" t="s">
        <v>388</v>
      </c>
      <c r="C3" s="1" t="s">
        <v>390</v>
      </c>
      <c r="D3" s="1" t="s">
        <v>392</v>
      </c>
      <c r="E3" s="1" t="s">
        <v>394</v>
      </c>
    </row>
    <row r="4" spans="1:5" x14ac:dyDescent="0.3">
      <c r="A4" s="1" t="s">
        <v>395</v>
      </c>
      <c r="B4" s="1" t="s">
        <v>396</v>
      </c>
      <c r="C4" s="1" t="s">
        <v>397</v>
      </c>
      <c r="D4" s="1" t="s">
        <v>398</v>
      </c>
      <c r="E4" s="1" t="s">
        <v>399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8D81-52B3-47B4-BC28-4146969289A9}">
  <dimension ref="A1:G6"/>
  <sheetViews>
    <sheetView workbookViewId="0">
      <selection activeCell="C2" sqref="C2"/>
    </sheetView>
  </sheetViews>
  <sheetFormatPr defaultRowHeight="14.4" x14ac:dyDescent="0.3"/>
  <cols>
    <col min="1" max="1" width="16.88671875" customWidth="1"/>
    <col min="2" max="2" width="11.88671875" customWidth="1"/>
    <col min="3" max="3" width="11.44140625" customWidth="1"/>
    <col min="4" max="4" width="19.6640625" customWidth="1"/>
    <col min="5" max="5" width="16.21875" customWidth="1"/>
    <col min="6" max="6" width="13.5546875" customWidth="1"/>
  </cols>
  <sheetData>
    <row r="1" spans="1:7" x14ac:dyDescent="0.3">
      <c r="A1" t="s">
        <v>314</v>
      </c>
      <c r="B1" t="s">
        <v>402</v>
      </c>
      <c r="C1" t="s">
        <v>317</v>
      </c>
      <c r="D1" t="s">
        <v>351</v>
      </c>
      <c r="E1" t="s">
        <v>319</v>
      </c>
      <c r="F1" t="s">
        <v>400</v>
      </c>
      <c r="G1" t="s">
        <v>404</v>
      </c>
    </row>
    <row r="2" spans="1:7" x14ac:dyDescent="0.3">
      <c r="A2" t="s">
        <v>315</v>
      </c>
      <c r="B2" t="s">
        <v>53</v>
      </c>
      <c r="C2" t="s">
        <v>437</v>
      </c>
      <c r="D2" t="s">
        <v>352</v>
      </c>
      <c r="E2" t="s">
        <v>438</v>
      </c>
      <c r="F2" t="s">
        <v>403</v>
      </c>
      <c r="G2" t="s">
        <v>27</v>
      </c>
    </row>
    <row r="3" spans="1:7" x14ac:dyDescent="0.3">
      <c r="A3" t="s">
        <v>316</v>
      </c>
      <c r="B3" t="s">
        <v>48</v>
      </c>
      <c r="C3" t="s">
        <v>318</v>
      </c>
      <c r="D3" t="s">
        <v>353</v>
      </c>
      <c r="E3" t="s">
        <v>320</v>
      </c>
      <c r="G3" t="s">
        <v>26</v>
      </c>
    </row>
    <row r="4" spans="1:7" x14ac:dyDescent="0.3">
      <c r="D4" t="s">
        <v>299</v>
      </c>
    </row>
    <row r="5" spans="1:7" x14ac:dyDescent="0.3">
      <c r="D5" t="s">
        <v>354</v>
      </c>
    </row>
    <row r="6" spans="1:7" x14ac:dyDescent="0.3">
      <c r="D6" t="s">
        <v>382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E8C3-AC8C-4DB4-B805-65863ED628D7}">
  <dimension ref="A1:E3"/>
  <sheetViews>
    <sheetView workbookViewId="0">
      <selection activeCell="B4" sqref="B4"/>
    </sheetView>
  </sheetViews>
  <sheetFormatPr defaultRowHeight="14.4" x14ac:dyDescent="0.3"/>
  <cols>
    <col min="1" max="1" width="17.6640625" customWidth="1"/>
    <col min="2" max="2" width="17.88671875" customWidth="1"/>
  </cols>
  <sheetData>
    <row r="1" spans="1:5" x14ac:dyDescent="0.3">
      <c r="A1" t="s">
        <v>405</v>
      </c>
      <c r="B1" t="s">
        <v>406</v>
      </c>
      <c r="C1" t="s">
        <v>404</v>
      </c>
      <c r="D1" t="s">
        <v>407</v>
      </c>
      <c r="E1" t="s">
        <v>409</v>
      </c>
    </row>
    <row r="2" spans="1:5" x14ac:dyDescent="0.3">
      <c r="A2" t="s">
        <v>438</v>
      </c>
      <c r="B2" t="s">
        <v>244</v>
      </c>
      <c r="C2" t="s">
        <v>27</v>
      </c>
      <c r="D2" t="s">
        <v>408</v>
      </c>
      <c r="E2" t="s">
        <v>382</v>
      </c>
    </row>
    <row r="3" spans="1:5" x14ac:dyDescent="0.3">
      <c r="A3" t="s">
        <v>320</v>
      </c>
      <c r="B3" t="s">
        <v>385</v>
      </c>
      <c r="C3" t="s">
        <v>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C684-FB61-4944-80DF-5C86BA686AB1}">
  <dimension ref="A1:G7"/>
  <sheetViews>
    <sheetView workbookViewId="0">
      <selection activeCell="F2" sqref="F2"/>
    </sheetView>
  </sheetViews>
  <sheetFormatPr defaultRowHeight="14.4" x14ac:dyDescent="0.3"/>
  <cols>
    <col min="3" max="3" width="16.77734375" customWidth="1"/>
    <col min="4" max="4" width="16.88671875" customWidth="1"/>
    <col min="5" max="5" width="20.5546875" customWidth="1"/>
    <col min="6" max="6" width="16.88671875" customWidth="1"/>
    <col min="7" max="7" width="13" customWidth="1"/>
  </cols>
  <sheetData>
    <row r="1" spans="1:7" ht="28.8" x14ac:dyDescent="0.3">
      <c r="A1" s="1" t="s">
        <v>417</v>
      </c>
      <c r="B1" s="1" t="s">
        <v>357</v>
      </c>
      <c r="C1" s="1" t="s">
        <v>351</v>
      </c>
      <c r="D1" s="1" t="s">
        <v>363</v>
      </c>
      <c r="E1" s="1" t="s">
        <v>338</v>
      </c>
      <c r="F1" s="1" t="s">
        <v>317</v>
      </c>
      <c r="G1" s="11" t="s">
        <v>415</v>
      </c>
    </row>
    <row r="2" spans="1:7" x14ac:dyDescent="0.3">
      <c r="A2" s="1" t="s">
        <v>355</v>
      </c>
      <c r="B2" s="1" t="s">
        <v>355</v>
      </c>
      <c r="C2" s="1" t="s">
        <v>355</v>
      </c>
      <c r="D2" s="1" t="s">
        <v>320</v>
      </c>
      <c r="E2" s="1" t="s">
        <v>438</v>
      </c>
      <c r="F2" s="1" t="s">
        <v>437</v>
      </c>
      <c r="G2" s="1" t="s">
        <v>416</v>
      </c>
    </row>
    <row r="3" spans="1:7" x14ac:dyDescent="0.3">
      <c r="A3" s="1" t="str">
        <f>"2024"</f>
        <v>2024</v>
      </c>
      <c r="B3" s="1" t="s">
        <v>359</v>
      </c>
      <c r="C3" s="1" t="s">
        <v>368</v>
      </c>
      <c r="D3" s="1"/>
      <c r="E3" s="1"/>
      <c r="F3" s="1"/>
      <c r="G3" s="1" t="s">
        <v>190</v>
      </c>
    </row>
    <row r="4" spans="1:7" x14ac:dyDescent="0.3">
      <c r="A4" s="1"/>
      <c r="B4" s="1" t="s">
        <v>360</v>
      </c>
      <c r="C4" s="1" t="s">
        <v>297</v>
      </c>
      <c r="D4" s="1"/>
      <c r="E4" s="1"/>
      <c r="F4" s="1"/>
      <c r="G4" s="1"/>
    </row>
    <row r="5" spans="1:7" x14ac:dyDescent="0.3">
      <c r="A5" s="1"/>
      <c r="B5" s="1" t="s">
        <v>361</v>
      </c>
      <c r="C5" s="1" t="s">
        <v>370</v>
      </c>
      <c r="D5" s="1"/>
      <c r="E5" s="1"/>
      <c r="F5" s="1"/>
      <c r="G5" s="1"/>
    </row>
    <row r="6" spans="1:7" x14ac:dyDescent="0.3">
      <c r="A6" s="1"/>
      <c r="B6" s="1" t="s">
        <v>362</v>
      </c>
      <c r="C6" s="1" t="s">
        <v>369</v>
      </c>
      <c r="D6" s="1"/>
      <c r="E6" s="1"/>
      <c r="F6" s="1"/>
      <c r="G6" s="1"/>
    </row>
    <row r="7" spans="1:7" x14ac:dyDescent="0.3">
      <c r="A7" s="1"/>
      <c r="B7" s="1"/>
      <c r="C7" s="1" t="s">
        <v>421</v>
      </c>
      <c r="D7" s="1"/>
      <c r="E7" s="1"/>
      <c r="F7" s="1"/>
      <c r="G7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BDD1-BAF6-4F1B-9A05-6E7F7E54D247}">
  <dimension ref="A1:F11"/>
  <sheetViews>
    <sheetView workbookViewId="0">
      <selection activeCell="H13" sqref="H13"/>
    </sheetView>
  </sheetViews>
  <sheetFormatPr defaultRowHeight="14.4" x14ac:dyDescent="0.3"/>
  <cols>
    <col min="1" max="1" width="16.21875" customWidth="1"/>
    <col min="2" max="2" width="32.33203125" customWidth="1"/>
    <col min="3" max="3" width="13" customWidth="1"/>
    <col min="4" max="4" width="13.6640625" customWidth="1"/>
    <col min="5" max="5" width="17.109375" customWidth="1"/>
    <col min="6" max="6" width="12.33203125" customWidth="1"/>
  </cols>
  <sheetData>
    <row r="1" spans="1:6" x14ac:dyDescent="0.3">
      <c r="A1" t="s">
        <v>327</v>
      </c>
      <c r="B1" t="s">
        <v>423</v>
      </c>
      <c r="C1" t="s">
        <v>409</v>
      </c>
      <c r="D1" t="s">
        <v>402</v>
      </c>
      <c r="E1" t="s">
        <v>433</v>
      </c>
      <c r="F1" t="s">
        <v>435</v>
      </c>
    </row>
    <row r="2" spans="1:6" x14ac:dyDescent="0.3">
      <c r="A2" t="s">
        <v>422</v>
      </c>
      <c r="B2" t="s">
        <v>425</v>
      </c>
      <c r="C2" t="s">
        <v>133</v>
      </c>
      <c r="D2" t="s">
        <v>48</v>
      </c>
      <c r="E2" t="s">
        <v>434</v>
      </c>
      <c r="F2" t="s">
        <v>436</v>
      </c>
    </row>
    <row r="3" spans="1:6" x14ac:dyDescent="0.3">
      <c r="A3" t="s">
        <v>320</v>
      </c>
      <c r="B3" t="s">
        <v>426</v>
      </c>
      <c r="C3" t="s">
        <v>134</v>
      </c>
      <c r="D3" t="s">
        <v>53</v>
      </c>
      <c r="E3" t="s">
        <v>458</v>
      </c>
      <c r="F3" t="s">
        <v>459</v>
      </c>
    </row>
    <row r="4" spans="1:6" x14ac:dyDescent="0.3">
      <c r="B4" t="s">
        <v>424</v>
      </c>
    </row>
    <row r="5" spans="1:6" x14ac:dyDescent="0.3">
      <c r="B5" t="s">
        <v>427</v>
      </c>
    </row>
    <row r="6" spans="1:6" x14ac:dyDescent="0.3">
      <c r="B6" t="s">
        <v>428</v>
      </c>
    </row>
    <row r="7" spans="1:6" x14ac:dyDescent="0.3">
      <c r="B7" t="s">
        <v>429</v>
      </c>
    </row>
    <row r="8" spans="1:6" x14ac:dyDescent="0.3">
      <c r="B8" t="s">
        <v>430</v>
      </c>
    </row>
    <row r="9" spans="1:6" x14ac:dyDescent="0.3">
      <c r="B9" t="s">
        <v>454</v>
      </c>
    </row>
    <row r="10" spans="1:6" x14ac:dyDescent="0.3">
      <c r="B10" t="s">
        <v>457</v>
      </c>
    </row>
    <row r="11" spans="1:6" x14ac:dyDescent="0.3">
      <c r="B11" t="s">
        <v>460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D576E-EB20-405A-A651-02F98DAB082C}">
  <dimension ref="A1:J3"/>
  <sheetViews>
    <sheetView workbookViewId="0">
      <selection activeCell="H20" sqref="H20"/>
    </sheetView>
  </sheetViews>
  <sheetFormatPr defaultRowHeight="14.4" x14ac:dyDescent="0.3"/>
  <cols>
    <col min="1" max="1" width="10.5546875" bestFit="1" customWidth="1"/>
    <col min="2" max="2" width="20.5546875" bestFit="1" customWidth="1"/>
    <col min="3" max="3" width="16.109375" bestFit="1" customWidth="1"/>
    <col min="4" max="4" width="28.77734375" bestFit="1" customWidth="1"/>
    <col min="5" max="5" width="9.77734375" bestFit="1" customWidth="1"/>
    <col min="6" max="6" width="9.6640625" bestFit="1" customWidth="1"/>
    <col min="7" max="7" width="30.44140625" bestFit="1" customWidth="1"/>
    <col min="8" max="8" width="18.77734375" bestFit="1" customWidth="1"/>
    <col min="9" max="9" width="12.44140625" bestFit="1" customWidth="1"/>
    <col min="10" max="10" width="10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309</v>
      </c>
      <c r="F1" s="1" t="s">
        <v>310</v>
      </c>
      <c r="G1" s="1" t="s">
        <v>482</v>
      </c>
      <c r="H1" s="1" t="s">
        <v>7</v>
      </c>
      <c r="I1" s="1" t="s">
        <v>8</v>
      </c>
      <c r="J1" s="1" t="s">
        <v>415</v>
      </c>
    </row>
    <row r="2" spans="1:10" x14ac:dyDescent="0.3">
      <c r="A2" s="1" t="s">
        <v>3</v>
      </c>
      <c r="B2" s="1" t="s">
        <v>515</v>
      </c>
      <c r="C2" s="1" t="s">
        <v>5</v>
      </c>
      <c r="D2" s="3" t="s">
        <v>516</v>
      </c>
      <c r="E2" s="3" t="s">
        <v>483</v>
      </c>
      <c r="F2" s="3" t="s">
        <v>484</v>
      </c>
      <c r="G2" s="3" t="s">
        <v>485</v>
      </c>
      <c r="H2" s="2" t="s">
        <v>518</v>
      </c>
      <c r="I2" s="1" t="s">
        <v>193</v>
      </c>
      <c r="J2" s="1" t="s">
        <v>190</v>
      </c>
    </row>
    <row r="3" spans="1:10" x14ac:dyDescent="0.3">
      <c r="A3" s="1" t="s">
        <v>164</v>
      </c>
      <c r="B3" s="1" t="s">
        <v>520</v>
      </c>
      <c r="C3" s="1" t="s">
        <v>5</v>
      </c>
      <c r="D3" s="3" t="s">
        <v>517</v>
      </c>
      <c r="E3" s="13" t="s">
        <v>488</v>
      </c>
      <c r="F3" s="13" t="s">
        <v>489</v>
      </c>
      <c r="G3" s="13" t="s">
        <v>490</v>
      </c>
      <c r="H3" s="1" t="s">
        <v>519</v>
      </c>
      <c r="I3" s="1" t="s">
        <v>470</v>
      </c>
      <c r="J3" s="1" t="s">
        <v>491</v>
      </c>
    </row>
  </sheetData>
  <hyperlinks>
    <hyperlink ref="G2" r:id="rId1" xr:uid="{F45F67E0-B81A-499C-A3B5-0AAD4CCB276A}"/>
    <hyperlink ref="G3" r:id="rId2" xr:uid="{9B7B4FE3-B791-4A03-B94A-C5D5A4987FA1}"/>
    <hyperlink ref="D2" r:id="rId3" xr:uid="{5693002E-0DE5-42A3-B9D6-0967917B88AF}"/>
    <hyperlink ref="D3" r:id="rId4" xr:uid="{3E3DB86D-B26E-4965-A65E-1AF245FFB681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91FF-5865-4A5D-97F8-613BEFC0FC93}">
  <dimension ref="A1:H2"/>
  <sheetViews>
    <sheetView workbookViewId="0">
      <selection activeCell="H11" sqref="H11"/>
    </sheetView>
  </sheetViews>
  <sheetFormatPr defaultRowHeight="14.4" x14ac:dyDescent="0.3"/>
  <cols>
    <col min="2" max="2" width="19.33203125" bestFit="1" customWidth="1"/>
    <col min="3" max="3" width="16.109375" bestFit="1" customWidth="1"/>
    <col min="4" max="4" width="38.109375" customWidth="1"/>
    <col min="5" max="5" width="14.5546875" bestFit="1" customWidth="1"/>
    <col min="6" max="6" width="10.44140625" bestFit="1" customWidth="1"/>
    <col min="8" max="8" width="18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441</v>
      </c>
      <c r="H1" s="1" t="s">
        <v>446</v>
      </c>
    </row>
    <row r="2" spans="1:8" x14ac:dyDescent="0.3">
      <c r="A2" s="1" t="s">
        <v>3</v>
      </c>
      <c r="B2" s="1" t="s">
        <v>521</v>
      </c>
      <c r="C2" s="1" t="s">
        <v>5</v>
      </c>
      <c r="D2" s="3" t="s">
        <v>516</v>
      </c>
      <c r="E2" s="2" t="s">
        <v>522</v>
      </c>
      <c r="F2" s="1" t="s">
        <v>193</v>
      </c>
      <c r="G2" s="1" t="s">
        <v>483</v>
      </c>
      <c r="H2" s="1" t="s">
        <v>510</v>
      </c>
    </row>
  </sheetData>
  <hyperlinks>
    <hyperlink ref="D2" r:id="rId1" xr:uid="{EB490B2B-5426-4B5E-AD2E-2E0283039F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UpdateVendorCategory</vt:lpstr>
      <vt:lpstr>AddUser</vt:lpstr>
      <vt:lpstr>AddVendor</vt:lpstr>
      <vt:lpstr>UpdateVendor</vt:lpstr>
      <vt:lpstr>UpdateFramework</vt:lpstr>
      <vt:lpstr>AddNodeMeta</vt:lpstr>
      <vt:lpstr>ModificationNodeData</vt:lpstr>
      <vt:lpstr>UpdateNode</vt:lpstr>
      <vt:lpstr>AddNodeDataControl</vt:lpstr>
      <vt:lpstr>AddNodeData</vt:lpstr>
      <vt:lpstr>AddFramework</vt:lpstr>
      <vt:lpstr>AssertMessage</vt:lpstr>
      <vt:lpstr>QestiontionnairUpload</vt:lpstr>
      <vt:lpstr>AddNodeChild</vt:lpstr>
      <vt:lpstr>AddVendorCategory</vt:lpstr>
      <vt:lpstr>UpdateUser</vt:lpstr>
      <vt:lpstr>AddVendorUser</vt:lpstr>
      <vt:lpstr>UpdateVendorUser</vt:lpstr>
      <vt:lpstr>AssessmentCalender</vt:lpstr>
      <vt:lpstr>Reportpage</vt:lpstr>
      <vt:lpstr>AssessmentStatistics</vt:lpstr>
      <vt:lpstr>General Report</vt:lpstr>
      <vt:lpstr>FrameworkQuestionnaire</vt:lpstr>
      <vt:lpstr>ObservationTracker</vt:lpstr>
      <vt:lpstr>VendorObservation</vt:lpstr>
      <vt:lpstr>VendorReport</vt:lpstr>
      <vt:lpstr>Upload</vt:lpstr>
      <vt:lpstr>ADAuditorUser</vt:lpstr>
      <vt:lpstr>UpdateADAuditorUser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Niranjan Srichandan</cp:lastModifiedBy>
  <dcterms:created xsi:type="dcterms:W3CDTF">2023-03-27T08:15:00Z</dcterms:created>
  <dcterms:modified xsi:type="dcterms:W3CDTF">2025-10-08T06:18:18Z</dcterms:modified>
</cp:coreProperties>
</file>